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E:\פרויקט סיום\לצרוב לדיסק\CATALOG\"/>
    </mc:Choice>
  </mc:AlternateContent>
  <xr:revisionPtr revIDLastSave="0" documentId="8_{A51F7B5B-66E3-4CAF-B817-F030DDD1C296}" xr6:coauthVersionLast="34" xr6:coauthVersionMax="34" xr10:uidLastSave="{00000000-0000-0000-0000-000000000000}"/>
  <bookViews>
    <workbookView xWindow="0" yWindow="0" windowWidth="20490" windowHeight="7545" tabRatio="815" activeTab="1"/>
  </bookViews>
  <sheets>
    <sheet name="הנחיות" sheetId="5" r:id="rId1"/>
    <sheet name="א. כללי" sheetId="1" r:id="rId2"/>
    <sheet name="ב. פרויקט הגמר בעולם האמיתי" sheetId="4" r:id="rId3"/>
    <sheet name="ג. תמונות" sheetId="2" r:id="rId4"/>
    <sheet name="ד. סרטונים" sheetId="3" r:id="rId5"/>
  </sheets>
  <definedNames>
    <definedName name="_xlnm._FilterDatabase" localSheetId="1" hidden="1">'א. כללי'!#REF!</definedName>
    <definedName name="_xlnm._FilterDatabase" localSheetId="4" hidden="1">'ד. סרטונים'!$B$9:$E$41</definedName>
    <definedName name="סטודנט_2">'א. כללי'!$F$35:$G$47</definedName>
  </definedNames>
  <calcPr calcId="179017"/>
</workbook>
</file>

<file path=xl/calcChain.xml><?xml version="1.0" encoding="utf-8"?>
<calcChain xmlns="http://schemas.openxmlformats.org/spreadsheetml/2006/main">
  <c r="D17" i="4" l="1"/>
  <c r="D15" i="4"/>
  <c r="D18" i="4"/>
  <c r="D16" i="4"/>
  <c r="D14" i="4"/>
  <c r="D19" i="4"/>
  <c r="D20" i="4"/>
  <c r="D12" i="4"/>
  <c r="D13" i="4"/>
</calcChain>
</file>

<file path=xl/comments1.xml><?xml version="1.0" encoding="utf-8"?>
<comments xmlns="http://schemas.openxmlformats.org/spreadsheetml/2006/main">
  <authors>
    <author>naama</author>
    <author>nir</author>
  </authors>
  <commentList>
    <comment ref="C16" authorId="0" shapeId="0">
      <text>
        <r>
          <rPr>
            <b/>
            <sz val="8"/>
            <color indexed="81"/>
            <rFont val="Tahoma"/>
            <family val="2"/>
          </rPr>
          <t xml:space="preserve">
למשל (דוגמא מפרויקט בתוכנה)</t>
        </r>
        <r>
          <rPr>
            <sz val="8"/>
            <color indexed="81"/>
            <rFont val="Tahoma"/>
            <family val="2"/>
          </rPr>
          <t xml:space="preserve">
מערכת המיועדת למרכז סקווש, הממחשבת את נושא הטיפול בלקוחות ע"י אחראי המשמרת, מבצעת אוטומטיזציה של תהליכים ככל שניתן ומאפשרת ללקוחות לבצע הזמנות של מגרשים ולבטלן באופן עצמאי וזאת באמצעות אתר אינטרנט.</t>
        </r>
      </text>
    </comment>
    <comment ref="C25" authorId="1" shapeId="0">
      <text>
        <r>
          <rPr>
            <sz val="8"/>
            <color indexed="81"/>
            <rFont val="Tahoma"/>
            <family val="2"/>
          </rPr>
          <t xml:space="preserve">
מי העלה את הפרויקט למערכת הפרויקטים. אם סטודנט הביא פרויקט מהתעשיה או מכל גורם אחר, ה"סטודנט" ייחשב כיוזם הפרויקט ולא "גורם חוץ".
"גורם חוץ" הוא למשל מנחה שאינו מסגל המכללה.</t>
        </r>
      </text>
    </comment>
    <comment ref="C28" authorId="0" shapeId="0">
      <text>
        <r>
          <rPr>
            <sz val="8"/>
            <color indexed="81"/>
            <rFont val="Tahoma"/>
            <family val="2"/>
          </rPr>
          <t xml:space="preserve">
המצגת או שני הפוסטרים נשמרים בתיקיית "PRESENTATION" (ראה נוהל פרויקטים עמ' 14 סעיף 1)</t>
        </r>
      </text>
    </comment>
    <comment ref="C31" authorId="0" shapeId="0">
      <text>
        <r>
          <rPr>
            <sz val="8"/>
            <color indexed="81"/>
            <rFont val="Tahoma"/>
            <family val="2"/>
          </rPr>
          <t xml:space="preserve">
נסה/י לחשוב אם וכיצד היית מעודד/ת סטודנט לבצע פרויקט בתעשיה</t>
        </r>
      </text>
    </comment>
    <comment ref="C42" authorId="0" shapeId="0">
      <text>
        <r>
          <rPr>
            <sz val="8"/>
            <color indexed="81"/>
            <rFont val="Tahoma"/>
            <family val="2"/>
          </rPr>
          <t xml:space="preserve">
מיקום ושם קובץ התמונה, למשל: pictures\oded.jpg</t>
        </r>
      </text>
    </comment>
  </commentList>
</comments>
</file>

<file path=xl/comments2.xml><?xml version="1.0" encoding="utf-8"?>
<comments xmlns="http://schemas.openxmlformats.org/spreadsheetml/2006/main">
  <authors>
    <author>naama</author>
    <author>nir</author>
  </authors>
  <commentList>
    <comment ref="C13" authorId="0" shapeId="0">
      <text>
        <r>
          <rPr>
            <b/>
            <sz val="8"/>
            <color indexed="81"/>
            <rFont val="Tahoma"/>
            <family val="2"/>
          </rPr>
          <t xml:space="preserve">
למשל (דוגמא מפרויקט בתוכנה)</t>
        </r>
        <r>
          <rPr>
            <sz val="8"/>
            <color indexed="81"/>
            <rFont val="Tahoma"/>
            <family val="2"/>
          </rPr>
          <t xml:space="preserve">
מערכת המיועדת למרכז סקווש, הממחשבת את נושא הטיפול בלקוחות ע"י אחראי המשמרת, מבצעת אוטומטיזציה של תהליכים ככל שניתן ומאפשרת ללקוחות לבצע הזמנות של מגרשים ולבטלן באופן עצמאי וזאת באמצעות אתר אינטרנט.</t>
        </r>
      </text>
    </comment>
    <comment ref="C21" authorId="0" shapeId="0">
      <text>
        <r>
          <rPr>
            <b/>
            <sz val="8"/>
            <color indexed="81"/>
            <rFont val="Tahoma"/>
            <family val="2"/>
          </rPr>
          <t xml:space="preserve">
למשל (דוגמא מפרויקט באלקטרוניקה)
</t>
        </r>
        <r>
          <rPr>
            <sz val="8"/>
            <color indexed="81"/>
            <rFont val="Tahoma"/>
            <family val="2"/>
          </rPr>
          <t>המערכת מורכבת משתי יחידות :
1. יחידה ניידת שבה נמצאת כל המערכת כולל הסוללה.
2. עריסה שבו נמצא מטען הסוללה והמודם לשליחת נתונים מקו הטלפון.
לא רלוונטי לפרויקטים בתוכנה.</t>
        </r>
      </text>
    </comment>
    <comment ref="C22" authorId="0" shapeId="0">
      <text>
        <r>
          <rPr>
            <b/>
            <sz val="8"/>
            <color indexed="81"/>
            <rFont val="Tahoma"/>
            <family val="2"/>
          </rPr>
          <t xml:space="preserve">
למשל (דוגמא מפרויקט בתוכנה)</t>
        </r>
        <r>
          <rPr>
            <sz val="8"/>
            <color indexed="81"/>
            <rFont val="Tahoma"/>
            <family val="2"/>
          </rPr>
          <t xml:space="preserve">
תוכנת ה - PhotoFace באה לענות על הצורך של תיעוד פניי אנשים מצולמים שמופיעים בתמונות , לדוגמא באלבומי משפחה , שיאפשר הצגתם של פרטיי המצולמים יחד עם התמונות ושליפת תמונות על סמך פרטיי המצולמים בהן.</t>
        </r>
      </text>
    </comment>
    <comment ref="C23" authorId="0" shapeId="0">
      <text>
        <r>
          <rPr>
            <b/>
            <sz val="8"/>
            <color indexed="81"/>
            <rFont val="Tahoma"/>
            <family val="2"/>
          </rPr>
          <t xml:space="preserve">
למשל (דוגמא מפרויקט במכונות)</t>
        </r>
        <r>
          <rPr>
            <sz val="8"/>
            <color indexed="81"/>
            <rFont val="Tahoma"/>
            <family val="2"/>
          </rPr>
          <t xml:space="preserve">
התמרים מוזנים למסוע, מגיעים לתחנת הגלעון שם הם מוזנים למערכות הגלעון (4 מערכות במקביל). לאחר הגלעון מועברים אוטומטית התמרים המגולענים לנקודת האריזה. הגלעינים נאספים במכלים מתאימים.
</t>
        </r>
      </text>
    </comment>
    <comment ref="C24" authorId="0" shapeId="0">
      <text>
        <r>
          <rPr>
            <b/>
            <sz val="8"/>
            <color indexed="81"/>
            <rFont val="Tahoma"/>
            <family val="2"/>
          </rPr>
          <t xml:space="preserve">
למשל (דוגמא מפרויקט באלקטרוניקה)
</t>
        </r>
        <r>
          <rPr>
            <sz val="8"/>
            <color indexed="81"/>
            <rFont val="Tahoma"/>
            <family val="2"/>
          </rPr>
          <t xml:space="preserve">1. מידתו הקטנה של הרכב מאפשרת לו להגיע למקומות שרכב גדול לא יוכל להגיע.
2. הרובוט משדר תמונה בזמן אמת למפעיל דבר שימנע בוודאות סיכון מיותר של חיי אדם.
3. היכולת לשדר אל הרובוט הוראת ירי אל החפץ החשוד.
</t>
        </r>
      </text>
    </comment>
    <comment ref="C32" authorId="1" shapeId="0">
      <text>
        <r>
          <rPr>
            <b/>
            <sz val="8"/>
            <color indexed="81"/>
            <rFont val="Tahoma"/>
            <family val="2"/>
          </rPr>
          <t>nir:</t>
        </r>
        <r>
          <rPr>
            <sz val="8"/>
            <color indexed="81"/>
            <rFont val="Tahoma"/>
            <family val="2"/>
          </rPr>
          <t xml:space="preserve">
האם הפרויקט ניתן לפרסום ובאילו אמצעים. </t>
        </r>
      </text>
    </comment>
  </commentList>
</comments>
</file>

<file path=xl/comments3.xml><?xml version="1.0" encoding="utf-8"?>
<comments xmlns="http://schemas.openxmlformats.org/spreadsheetml/2006/main">
  <authors>
    <author>naama</author>
  </authors>
  <commentList>
    <comment ref="E9" authorId="0" shapeId="0">
      <text>
        <r>
          <rPr>
            <sz val="8"/>
            <color indexed="81"/>
            <rFont val="Tahoma"/>
            <family val="2"/>
          </rPr>
          <t xml:space="preserve">
למשל :
pictures\pic1.bmp
או:
pictures\engine\eng1.jpg
pictures\engine\eng2.jpg
</t>
        </r>
      </text>
    </comment>
  </commentList>
</comments>
</file>

<file path=xl/comments4.xml><?xml version="1.0" encoding="utf-8"?>
<comments xmlns="http://schemas.openxmlformats.org/spreadsheetml/2006/main">
  <authors>
    <author>naama</author>
  </authors>
  <commentList>
    <comment ref="E9" authorId="0" shapeId="0">
      <text>
        <r>
          <rPr>
            <sz val="8"/>
            <color indexed="81"/>
            <rFont val="Tahoma"/>
            <family val="2"/>
          </rPr>
          <t xml:space="preserve">
למשל :
clips\1.avi
או:
clips\animation\2.mpg
או:
http://www.youtube.com/videolink
</t>
        </r>
      </text>
    </comment>
  </commentList>
</comments>
</file>

<file path=xl/sharedStrings.xml><?xml version="1.0" encoding="utf-8"?>
<sst xmlns="http://schemas.openxmlformats.org/spreadsheetml/2006/main" count="371" uniqueCount="251">
  <si>
    <t>שם פרויקט בעברית</t>
  </si>
  <si>
    <t>שם הפרויקט באנגלית</t>
  </si>
  <si>
    <t>סטודנט-שם משפחה</t>
  </si>
  <si>
    <t>סטודנט-שם פרטי</t>
  </si>
  <si>
    <t>הערות</t>
  </si>
  <si>
    <t>אחר</t>
  </si>
  <si>
    <t>סיבה לבחירת ביצוע הפרויקט</t>
  </si>
  <si>
    <t>אופן פרסום הפרויקט</t>
  </si>
  <si>
    <t>חוברת פרויקטים</t>
  </si>
  <si>
    <t>תערוכה</t>
  </si>
  <si>
    <t>מה כדאי להדגיש בפרסום/המסר שכדאי להעביר</t>
  </si>
  <si>
    <t>כן</t>
  </si>
  <si>
    <t>לא</t>
  </si>
  <si>
    <t>על הפרויקט</t>
  </si>
  <si>
    <t>מילות מפתח בעברית (מילה בכל עמודה)</t>
  </si>
  <si>
    <t>מילות מפתח באנגלית (מילה בכל עמודה)</t>
  </si>
  <si>
    <t>תתי תחום</t>
  </si>
  <si>
    <t>סטודנט 1</t>
  </si>
  <si>
    <t>סטודנט 2</t>
  </si>
  <si>
    <t>סטודנט 3</t>
  </si>
  <si>
    <t>סטודנט 4</t>
  </si>
  <si>
    <t>סטודנט 5</t>
  </si>
  <si>
    <t>על הסטודנט/מנחה</t>
  </si>
  <si>
    <t>תת תחום/תת נושא</t>
  </si>
  <si>
    <t>סטודנט-טלפון</t>
  </si>
  <si>
    <t>מנחה-שם משפחה</t>
  </si>
  <si>
    <t>מנחה-שם פרטי</t>
  </si>
  <si>
    <t>מקור הפרויקט:</t>
  </si>
  <si>
    <t>תעשיה</t>
  </si>
  <si>
    <t>מרצה</t>
  </si>
  <si>
    <t>סטודנט/מבצע הפרויקט</t>
  </si>
  <si>
    <t>אחר-יש לציין מהו המקור</t>
  </si>
  <si>
    <t>פירוט</t>
  </si>
  <si>
    <t>מס"ד</t>
  </si>
  <si>
    <t>שאלה</t>
  </si>
  <si>
    <t>תשובה</t>
  </si>
  <si>
    <t>כן/לא</t>
  </si>
  <si>
    <t>מחלקה</t>
  </si>
  <si>
    <t>תוכנה</t>
  </si>
  <si>
    <t>מכונות</t>
  </si>
  <si>
    <t>אלקטרוניקה</t>
  </si>
  <si>
    <t>הנדסה רפואית</t>
  </si>
  <si>
    <t>מערכות מידע</t>
  </si>
  <si>
    <t>רשתות תקשורת</t>
  </si>
  <si>
    <t>עיבוד תמונה</t>
  </si>
  <si>
    <t>עיבוד קול</t>
  </si>
  <si>
    <t>בינה מלאכותית</t>
  </si>
  <si>
    <t>אינטרנט</t>
  </si>
  <si>
    <t>רשתות נוירונים</t>
  </si>
  <si>
    <t>אלקטרואופטיקה</t>
  </si>
  <si>
    <t>פלסטיקה</t>
  </si>
  <si>
    <t>ציוד תעופתי</t>
  </si>
  <si>
    <t>מכשור ומכאניקה מדויקת</t>
  </si>
  <si>
    <t>אוטומציה ורובוטיקה</t>
  </si>
  <si>
    <t>בקרה</t>
  </si>
  <si>
    <t>קונסטרוקציות ציוד חקלאי</t>
  </si>
  <si>
    <t>מכשור רפואי</t>
  </si>
  <si>
    <t>פנאומטיקה והידראוליקה (מתקני זרימה)</t>
  </si>
  <si>
    <t>מיזוג וקירור</t>
  </si>
  <si>
    <t>מכאניקה כללית</t>
  </si>
  <si>
    <t>מערכות ספרתיות</t>
  </si>
  <si>
    <t>מערכות רפואיות</t>
  </si>
  <si>
    <t>רובוטיקה</t>
  </si>
  <si>
    <t>מערכות הפעלה</t>
  </si>
  <si>
    <t>משחקים</t>
  </si>
  <si>
    <t>אבטחת מידע</t>
  </si>
  <si>
    <t>מערכות מבוזרות ו GRID</t>
  </si>
  <si>
    <t>גראפיקה ממוחשבת</t>
  </si>
  <si>
    <t>מערכות זמן אמת</t>
  </si>
  <si>
    <t>מערכות משובצות מחשב (EMBEDDED)</t>
  </si>
  <si>
    <t>אלגוריתמים</t>
  </si>
  <si>
    <t>עיבוד אותות</t>
  </si>
  <si>
    <t>רב-תחומי</t>
  </si>
  <si>
    <t>אחר (יש לציין מהו)</t>
  </si>
  <si>
    <t>סטודנט-מ"ז</t>
  </si>
  <si>
    <t>מתודיקה</t>
  </si>
  <si>
    <t>שדה חובה</t>
  </si>
  <si>
    <t>שדה רשות</t>
  </si>
  <si>
    <t>כתובת קישור לקו"ח של הסטודנט באינטרנט - אם יש</t>
  </si>
  <si>
    <t>סוג התמונה</t>
  </si>
  <si>
    <t>תיאור התמונה</t>
  </si>
  <si>
    <t>שדה חובה אם רלוונטי לפרויקט</t>
  </si>
  <si>
    <t>שדה מומלץ</t>
  </si>
  <si>
    <t>תיאור הסרטון</t>
  </si>
  <si>
    <t>יש לבחור מהרשימה</t>
  </si>
  <si>
    <t>פרויקט הגמר שלך הוא תעודת הזהות המקצועית הראשונה אותה אתה מציג בפני המעסיק. הפרטים שתמלא בכרטסת זו נחוצים לנו על מנת שנוכל לחשוף בפני מעסיקים ויזמים במגוון ערוצים, הכוללים חוברת פרויקטי גמר, כרזות ותערוכות</t>
  </si>
  <si>
    <t>מט"ע</t>
  </si>
  <si>
    <t>יש לקחת בחשבון כי המידע המופיע בכרטסת יוצג בפני הציבור הרחב, שאינו בהכרח בעל ידע טכנולוגי ולכן יש להסביר בשפה עממית ופשוטה</t>
  </si>
  <si>
    <t>כן/לא:</t>
  </si>
  <si>
    <t>אם היה יושב לפניך משקיע - כיצד היית מסביר לו את הסיבות לחשיבות פיתוח הפרויקט ?</t>
  </si>
  <si>
    <t>כן (יש לפרט)</t>
  </si>
  <si>
    <t>למה הפרויקט נועד (יש לפרט שימושים אפשריים) ?</t>
  </si>
  <si>
    <t>תיאור פעולת הפרויקט</t>
  </si>
  <si>
    <t>מהם יתרונותיו של הפרויקט ?</t>
  </si>
  <si>
    <t xml:space="preserve">פרויקטי הגמר יועלו למאגר ממוחשב כשכל פרויקט יקוטלג על פי השדות המופיעים בכרטסת זו </t>
  </si>
  <si>
    <t>במידה ויש יותר מסטודנט אחד בפרויקט, יש לפרט מהו החלק בפרויקט אותו מבצע כל סטודנט</t>
  </si>
  <si>
    <t>כרטסת זו מכילה קישורים לסרטונים על הפרויקט. הכנת סרטון לפרויקט בו יש דגם חשובה מאד</t>
  </si>
  <si>
    <t>צילום וידאו של המערכת בפעולה</t>
  </si>
  <si>
    <t>ניתוח של תוצאות מעבדה</t>
  </si>
  <si>
    <t>מנחה/גורם חוץ</t>
  </si>
  <si>
    <t>תאריך מילוי הטופס</t>
  </si>
  <si>
    <t>מחזור פרויקט</t>
  </si>
  <si>
    <t>2006-2007</t>
  </si>
  <si>
    <t>2007-2008</t>
  </si>
  <si>
    <t>2005-2006</t>
  </si>
  <si>
    <t>מחזור פרויקט  (שנת ההגשה-שנת הבחירה)</t>
  </si>
  <si>
    <t>מקרא</t>
  </si>
  <si>
    <t>תיאור הפרויקט בשפה העברית (עד 60 מילים)</t>
  </si>
  <si>
    <t>תיאור הפרויקט בשפה האנגלית (עד 70 מילים)</t>
  </si>
  <si>
    <t>צילום וידאו של מצגת הפרויקט</t>
  </si>
  <si>
    <t>צילום של דגם הפרויקט</t>
  </si>
  <si>
    <t>תמונת שרטוט (כשאין דגם)</t>
  </si>
  <si>
    <t>תמונת מסך</t>
  </si>
  <si>
    <t>מספר סרטון</t>
  </si>
  <si>
    <t>מספר תמונה</t>
  </si>
  <si>
    <t>מספר סטודנטים בפרויקט</t>
  </si>
  <si>
    <t>תיאור הפרויקט (עד 60 מילים)</t>
  </si>
  <si>
    <t>מהם רכיבי המערכת ?</t>
  </si>
  <si>
    <t>במה מיוחד הפרויקט ? ( המצאה, חידוש טכנולוגי וכד' )</t>
  </si>
  <si>
    <t>הנחיות למילוי הטופס</t>
  </si>
  <si>
    <t>לצפיה בלבד</t>
  </si>
  <si>
    <t>שם הפרויקט</t>
  </si>
  <si>
    <t>שם הסטודנט/ים</t>
  </si>
  <si>
    <t>טלפון הסטודנט</t>
  </si>
  <si>
    <t>שם המנחה/ים</t>
  </si>
  <si>
    <t>וידאו בלוג של הסטודנט</t>
  </si>
  <si>
    <t>וידאו בלוג של המנחה</t>
  </si>
  <si>
    <t>דגם ב-SOLID או SIMULINK וכו'</t>
  </si>
  <si>
    <t>3. בחלק מהתאים ניתן למצוא בפינה השמאלית העליונה משלוש קטן באדום. סימון זה מציין כי יש הערה על תא זה. בכדי לצפות בהערה יש לעמוד עם העכבר בתוך התא ולהמתין לרגע.</t>
  </si>
  <si>
    <t>שם קובץ התמונה כולל הנתיב המלא (ללא שם הכונן)</t>
  </si>
  <si>
    <t>סוג הסרטון</t>
  </si>
  <si>
    <t>סטודנט-כתובת אימיל פרטית (למקרה שכתובת המייל של המכללה כבר לא תהיה זמינה לכם)</t>
  </si>
  <si>
    <t>אמייל הסטודנט</t>
  </si>
  <si>
    <t>נתיב תמונת הפספורט של הסטודנט</t>
  </si>
  <si>
    <t>נתיב תמונת הפספורט</t>
  </si>
  <si>
    <t>2. יש למלא את השדות בגליונות א', ב', ג' ו-ד' (מומלץ למלא בסדר זה), על פי המקרא המצויין בראש כל גליון.</t>
  </si>
  <si>
    <t>מה המסר שלך לסטודנט שטרם ביצע פרויקט ?</t>
  </si>
  <si>
    <t>אם הפרויקט בוצע בתעשיה, כיצד עובדה זו תרמה לך ?</t>
  </si>
  <si>
    <t>איזה טיפ היית נותן לסטודנט המבצע פרויקט ?</t>
  </si>
  <si>
    <t>האם נחתם הסכם סודיות עם המכללה על הפרויקט ?</t>
  </si>
  <si>
    <t>סוגי לקוחות</t>
  </si>
  <si>
    <t>אפקה יזמות</t>
  </si>
  <si>
    <t>קהילה</t>
  </si>
  <si>
    <t>משרד ראש הממשלה</t>
  </si>
  <si>
    <t>צה"ל</t>
  </si>
  <si>
    <t>אין</t>
  </si>
  <si>
    <t>מיהו יוזם הפרויקט ?</t>
  </si>
  <si>
    <t>מכללה</t>
  </si>
  <si>
    <t>גורם חוץ</t>
  </si>
  <si>
    <t>משרד הביטחון</t>
  </si>
  <si>
    <t>סטודנט</t>
  </si>
  <si>
    <t>כרזה/פוסטר</t>
  </si>
  <si>
    <t>האם קיים מיזם או פיתוח דומה בעולם (פרט)</t>
  </si>
  <si>
    <t>האם הפרויקט מיושם ונמצא בשימוש או שיש לגביו תוכניות יישום קרובות ? (פרט)</t>
  </si>
  <si>
    <t>4. כאשר חלק מהטקסט שמולא בתא מסוים אינו מוצג (יכול לקרות למשל בשדה "תיאור הפרויקט" בגליון "כללי"), יש להגדיל את גובה עמודת התא. כדי לעשות זאת יש לגרור את הקו האופקי , זה המפריד בין מספרי השורות שבסרגל הימני האפור, בהתאם.</t>
  </si>
  <si>
    <t>6. יש להדפיס את גליונות א' ו-ב' ולהביאם בעת הגשת הפרויקט.</t>
  </si>
  <si>
    <t>האם לפרויקט יש לקוח/צרכן העתיד להשתמש או להנות מהפיתוח? אם כן ציין במידת האפשר מיהו, בתא שמשמאל לתיבת הבחירה.</t>
  </si>
  <si>
    <t>הנדסת תוכנה</t>
  </si>
  <si>
    <t>הנדסה מכנית</t>
  </si>
  <si>
    <t>הנדסת תעשיה וניהול</t>
  </si>
  <si>
    <t>הנדסת חשמל ואלקטרוניקה</t>
  </si>
  <si>
    <t>המחלקה לה שייך הסטודנט</t>
  </si>
  <si>
    <t>פרויקט רב תחומי</t>
  </si>
  <si>
    <t>-- או לגבי פרויקטים במכונות  --</t>
  </si>
  <si>
    <t>-- או לגבי פרויקטים באלקטרוניקה  --</t>
  </si>
  <si>
    <t>-- או לגבי פרויקטים בתוכנה  --</t>
  </si>
  <si>
    <t>OLAP וכלי BI</t>
  </si>
  <si>
    <t>כריית מידע</t>
  </si>
  <si>
    <t>ניתוח ואפיון מערכות מידע</t>
  </si>
  <si>
    <t>חקר עבודה ושיפור שיטות</t>
  </si>
  <si>
    <t>לוגיסטיקה</t>
  </si>
  <si>
    <t>ניהול פרויקטים</t>
  </si>
  <si>
    <t>סטטיסטיקה - הסתברויות</t>
  </si>
  <si>
    <t>סימולציה</t>
  </si>
  <si>
    <t>תזמון</t>
  </si>
  <si>
    <t>תכנון וניהול מלאים</t>
  </si>
  <si>
    <t>-- או לגבי פרויקטים בתעונ - מערכות מידע  --</t>
  </si>
  <si>
    <t>-- או לגבי פרויקטים בתעונ - תפ"י --</t>
  </si>
  <si>
    <t>כרטסת זו מכילה קישורים לתמונות הפרויקט, יש לצלם ברזולוציה הגבוהה ביותר האפשרית במצלמתם. הקובץ צריך להיות בפורמט BMP 24 סיביות, או JPG. בפרויקטים במכונות, יש ליצור מהדגמים קבצי תמונה בגודל 20X20 ס"מ וברזולוציה של 300DPI בעזרת תוכנת solid edge. תוכנה זו מאפשרת לשמור את התמונות ברזולוציה גבוהה, אפשר לחילופין להשתמש בתוכנת SolidWorks ולייצר קובץ PDF ברזולוציה של 300DPI.</t>
  </si>
  <si>
    <t>שם קובץ הסרטון כולל הנתיב המלא (ללא שם הכונן) או קישור לסרטון ברשת האינטרנט</t>
  </si>
  <si>
    <t>5. יש להחתים את המנחה על אחד מהגליונות.</t>
  </si>
  <si>
    <t>שם קובץ המצגת השווקית ( או שמות הפוסטרים למי שמציג בתערוכה ) - רק אם מוכנים בזמן הגשת הפרויקט</t>
  </si>
  <si>
    <t>אנרגיות חלופיות</t>
  </si>
  <si>
    <t>חומרים ותהליכי עיבוד</t>
  </si>
  <si>
    <t>כלי רכב ומנועים</t>
  </si>
  <si>
    <t>מנועים וטורבינות</t>
  </si>
  <si>
    <t>ציוד לעיבוד וייצור</t>
  </si>
  <si>
    <t>שינוע ואכסון</t>
  </si>
  <si>
    <t>אנטנות, התפשטות גלים ורכיבי רדיו</t>
  </si>
  <si>
    <t>בקרה וניווט</t>
  </si>
  <si>
    <t>הספק וכח</t>
  </si>
  <si>
    <t>התקנים אלקטרוניים</t>
  </si>
  <si>
    <t>מיכשור תעשייתי</t>
  </si>
  <si>
    <t>עיבוד אות ועיבוד תמונה</t>
  </si>
  <si>
    <t>רובוטיקה ואוטומציה</t>
  </si>
  <si>
    <t>תורת המידע</t>
  </si>
  <si>
    <t>תקשורת קווית ואלחוטית</t>
  </si>
  <si>
    <t>מחקר</t>
  </si>
  <si>
    <t>מחשבי כף-יד וטלפונים סלולאריים</t>
  </si>
  <si>
    <t>מכניקה של מערכות פיזיולוגיות</t>
  </si>
  <si>
    <t>מערכות מידע רפואיות</t>
  </si>
  <si>
    <t>חקר ביצועים-שיטות אופטימיזציה</t>
  </si>
  <si>
    <t>-- או לגבי פרויקטים בהנדסה רפואית</t>
  </si>
  <si>
    <t>יש להיעזר במנחה בעת מילוי חלק זה</t>
  </si>
  <si>
    <t xml:space="preserve">    את גליונות ג' ו-ד' יש להדפיס ולהביא - רק אם מולאו.</t>
  </si>
  <si>
    <t>1. בקובץ זה 5 גליונות (כולל זה), המופיעים בתחתית החלון (מצד ימין לפס הגלילה האופקי).</t>
  </si>
  <si>
    <t>2017-2018</t>
  </si>
  <si>
    <t>מערכת לניטור, ניתוח וחיזוי תפוסת חניון - StatistiPark</t>
  </si>
  <si>
    <t>Parking Lot Occupancy Monitoring, Analyzing and Predicting System - StatistiPark</t>
  </si>
  <si>
    <t>הפרויקט הינו מערכת עזר לניהול חניון. המערכת עוזרת למנהל חניון ומפעילו לקבל תמונת מצב על החניון ולצפות בדוחות וסטטיסטיקות שונות. כמו כן, המערכת מסוגלת לחזות מתי תתפנה חניה בחניון.</t>
  </si>
  <si>
    <t>חיזוי</t>
  </si>
  <si>
    <t>חניון</t>
  </si>
  <si>
    <t>סטטיסטיקה</t>
  </si>
  <si>
    <t>דוח</t>
  </si>
  <si>
    <t>תורת התורים</t>
  </si>
  <si>
    <t>שרשרת מרקוב</t>
  </si>
  <si>
    <t>חניה</t>
  </si>
  <si>
    <t>Parking-Lot</t>
  </si>
  <si>
    <t>Parking-Spot</t>
  </si>
  <si>
    <t>Report</t>
  </si>
  <si>
    <t>Statistics</t>
  </si>
  <si>
    <t>Prediction</t>
  </si>
  <si>
    <t>Queueing Theory</t>
  </si>
  <si>
    <t>Markov Chain</t>
  </si>
  <si>
    <t>ניתוח</t>
  </si>
  <si>
    <t>ניטור</t>
  </si>
  <si>
    <t>יעילות</t>
  </si>
  <si>
    <t>Efficiency</t>
  </si>
  <si>
    <t>Monitoring</t>
  </si>
  <si>
    <t>Analysis</t>
  </si>
  <si>
    <t>להנות מהדרך ולבחור פרויקט שמדבר אליו.</t>
  </si>
  <si>
    <t>לעבוד על הפרויקט מתחילת הדרך ולא לדחות מטלות.</t>
  </si>
  <si>
    <t>טווינה</t>
  </si>
  <si>
    <t>דביר</t>
  </si>
  <si>
    <t>https://www.linkedin.com/in/dvir-twina-17a677127/</t>
  </si>
  <si>
    <t>050-3345698</t>
  </si>
  <si>
    <t>dvirtwina@gmail.com</t>
  </si>
  <si>
    <t>PICTURES\תמונת פנים - דביר טווינה.png</t>
  </si>
  <si>
    <t>פייטלסון</t>
  </si>
  <si>
    <t>דוד</t>
  </si>
  <si>
    <t>פרויקט תוכנה. לא רלוונטי</t>
  </si>
  <si>
    <t>1. מערכת StatistiPark נועדה לספק חיזויים לנהגים המבקשים לחנות בחניון: מתי תתפנה להם חניה. 2. לאסוף מידע מהחניון, לנתחו ולהציגו למשתמש.</t>
  </si>
  <si>
    <t>המערכת אוספת נתונים על המכוניות הנכנסות אל החניון והיוצאות ממנו. לאחר מכן, היא מנתחת אותם ומציגה אותם למשתמש בצורה ברורה ויפה. המתמש יכול לבחור לקבל דוחות וסטטיסטיקות על החניון. כאשר החניון מלא, המערכת חוזה בתוך כמה זמן תתפנה חניה.</t>
  </si>
  <si>
    <t xml:space="preserve">יכולת החיזוי שפותחה הינה חידוש טכנולוגי שיקל על ציבור גדול מאוד של נהגים בעת חיפושם אחר חניה. </t>
  </si>
  <si>
    <t>1. יכולת המערכת לספק חיזויים מעלה משמעותית את רמת השירות של החניון, מה שיביא עוד נהגים לחנות בו ותוך כך את רווחיותו. 2. האנליזה שמבצעת המערכת על הנתונים מאפשרת למנהל חניון לקבל החלטות ניהוליות תקופתיות ויומיומיות בצורה טובה ומושכלת.</t>
  </si>
  <si>
    <t>אנשים רבים החיים באזור תל אביב נתקלים יום יום בבעיית החניה החמורה שבעיר. כאחד שנתקל בבעיה זו לא מעט, תמיד כשאני מגיע לחניון ומגלה שהוא מלא אני מתחבט בשאלה האם כדאי לי להישאר לחכות לחניה שתתפנה, או שעדיף לי להמשיך הלאה לחפש חניה במקום אחר. המערכת פותרת בעיה זו לחלוטין.</t>
  </si>
  <si>
    <t>ישנם מיזמים המשתמשים במתודולוגית חיזוי הדומה לפרויקט זה (שרשרת מרקוב) הקיימים באופן תיאורטי ואינם מוטמעים.</t>
  </si>
  <si>
    <t>אני חושב לקחת את הפרויקט לשלב הבא ולנסות להטמיע את המערכת בחניון אמיתי.</t>
  </si>
  <si>
    <t>This project is basically an asistive system for parking-lot management. The system helps the parking-lot manager and its operator get a clear picture of the parking-lot, as well as various reports and statistics. Moreover, the system predicts the time it would take for a parking-spot to be available.</t>
  </si>
  <si>
    <t>מנגנון החיזוי מבוסס על שרשרת מרקוב (תורת התורים).</t>
  </si>
  <si>
    <t>הפרויקט לא בוצע בתעשייה.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</si>
</sst>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0"/>
      <name val="Arial"/>
      <charset val="177"/>
    </font>
    <font>
      <sz val="8"/>
      <name val="Arial"/>
      <family val="2"/>
    </font>
    <font>
      <sz val="10"/>
      <color indexed="17"/>
      <name val="Arial"/>
      <family val="2"/>
    </font>
    <font>
      <b/>
      <sz val="10"/>
      <color indexed="17"/>
      <name val="Arial"/>
      <family val="2"/>
    </font>
    <font>
      <sz val="8"/>
      <color indexed="81"/>
      <name val="Tahoma"/>
      <family val="2"/>
    </font>
    <font>
      <sz val="10"/>
      <color indexed="8"/>
      <name val="Arial"/>
      <family val="2"/>
    </font>
    <font>
      <b/>
      <sz val="10"/>
      <color indexed="8"/>
      <name val="Arial"/>
      <family val="2"/>
    </font>
    <font>
      <sz val="10"/>
      <name val="Arial"/>
      <family val="2"/>
    </font>
    <font>
      <sz val="10"/>
      <color indexed="17"/>
      <name val="Arial"/>
      <family val="2"/>
    </font>
    <font>
      <u/>
      <sz val="10"/>
      <color indexed="12"/>
      <name val="Arial"/>
      <family val="2"/>
    </font>
    <font>
      <b/>
      <sz val="8"/>
      <color indexed="81"/>
      <name val="Tahoma"/>
      <family val="2"/>
    </font>
    <font>
      <b/>
      <sz val="12"/>
      <color indexed="17"/>
      <name val="Arial"/>
      <family val="2"/>
    </font>
    <font>
      <sz val="10"/>
      <color indexed="8"/>
      <name val="Arial"/>
      <family val="2"/>
    </font>
    <font>
      <b/>
      <sz val="10"/>
      <color indexed="12"/>
      <name val="Arial"/>
      <family val="2"/>
    </font>
    <font>
      <b/>
      <sz val="10"/>
      <color indexed="10"/>
      <name val="Arial"/>
      <family val="2"/>
    </font>
    <font>
      <b/>
      <sz val="10"/>
      <name val="Arial"/>
      <family val="2"/>
    </font>
    <font>
      <b/>
      <sz val="14"/>
      <name val="Arial"/>
      <family val="2"/>
    </font>
    <font>
      <sz val="14"/>
      <name val="Arial"/>
      <family val="2"/>
    </font>
    <font>
      <b/>
      <u/>
      <sz val="18"/>
      <color indexed="10"/>
      <name val="Arial"/>
      <family val="2"/>
    </font>
    <font>
      <b/>
      <sz val="14"/>
      <color indexed="12"/>
      <name val="Arial"/>
      <family val="2"/>
    </font>
    <font>
      <u/>
      <sz val="10"/>
      <color indexed="8"/>
      <name val="Arial"/>
      <family val="2"/>
    </font>
  </fonts>
  <fills count="11">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47"/>
        <bgColor indexed="64"/>
      </patternFill>
    </fill>
    <fill>
      <patternFill patternType="solid">
        <fgColor indexed="9"/>
        <bgColor indexed="64"/>
      </patternFill>
    </fill>
    <fill>
      <patternFill patternType="solid">
        <fgColor rgb="FFCCFFCC"/>
        <bgColor indexed="64"/>
      </patternFill>
    </fill>
    <fill>
      <patternFill patternType="solid">
        <fgColor theme="0"/>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dotted">
        <color indexed="64"/>
      </right>
      <top style="medium">
        <color indexed="64"/>
      </top>
      <bottom style="thin">
        <color indexed="64"/>
      </bottom>
      <diagonal/>
    </border>
    <border>
      <left style="medium">
        <color indexed="64"/>
      </left>
      <right style="dotted">
        <color indexed="64"/>
      </right>
      <top style="thin">
        <color indexed="64"/>
      </top>
      <bottom style="thin">
        <color indexed="64"/>
      </bottom>
      <diagonal/>
    </border>
  </borders>
  <cellStyleXfs count="3">
    <xf numFmtId="0" fontId="0" fillId="0" borderId="0"/>
    <xf numFmtId="0" fontId="5" fillId="0" borderId="0"/>
    <xf numFmtId="0" fontId="9" fillId="0" borderId="0" applyNumberFormat="0" applyFill="0" applyBorder="0" applyAlignment="0" applyProtection="0">
      <alignment vertical="top"/>
      <protection locked="0"/>
    </xf>
  </cellStyleXfs>
  <cellXfs count="261">
    <xf numFmtId="0" fontId="0" fillId="0" borderId="0" xfId="0"/>
    <xf numFmtId="0" fontId="3" fillId="2" borderId="2" xfId="0" applyFont="1" applyFill="1" applyBorder="1" applyAlignment="1">
      <alignment horizontal="center" vertical="center" wrapText="1"/>
    </xf>
    <xf numFmtId="0" fontId="0" fillId="0" borderId="0" xfId="0" applyAlignment="1">
      <alignment horizontal="right"/>
    </xf>
    <xf numFmtId="0" fontId="15" fillId="0" borderId="0" xfId="0" applyFont="1"/>
    <xf numFmtId="0" fontId="16" fillId="0" borderId="0" xfId="0" applyFont="1" applyAlignment="1">
      <alignment horizontal="right" readingOrder="2"/>
    </xf>
    <xf numFmtId="0" fontId="17" fillId="0" borderId="0" xfId="0" applyFont="1"/>
    <xf numFmtId="0" fontId="16" fillId="0" borderId="0" xfId="0" applyFont="1" applyAlignment="1">
      <alignment horizontal="right" wrapText="1" readingOrder="2"/>
    </xf>
    <xf numFmtId="0" fontId="17" fillId="0" borderId="0" xfId="0" applyFont="1" applyAlignment="1">
      <alignment horizontal="right"/>
    </xf>
    <xf numFmtId="0" fontId="3" fillId="0" borderId="3" xfId="0" applyFont="1" applyFill="1" applyBorder="1" applyAlignment="1" applyProtection="1">
      <alignment horizontal="right" vertical="center" wrapText="1"/>
    </xf>
    <xf numFmtId="0" fontId="3" fillId="0" borderId="0" xfId="0" applyFont="1" applyFill="1" applyBorder="1" applyAlignment="1" applyProtection="1">
      <alignment horizontal="right" vertical="center" wrapText="1"/>
    </xf>
    <xf numFmtId="0" fontId="0" fillId="0" borderId="4" xfId="0" applyFill="1" applyBorder="1" applyAlignment="1" applyProtection="1">
      <alignment vertical="center" wrapText="1"/>
    </xf>
    <xf numFmtId="0" fontId="0" fillId="0" borderId="5" xfId="0" applyFill="1" applyBorder="1" applyAlignment="1" applyProtection="1">
      <alignment vertical="center" wrapText="1"/>
    </xf>
    <xf numFmtId="0" fontId="0" fillId="0" borderId="6" xfId="0" applyFill="1" applyBorder="1" applyAlignment="1" applyProtection="1">
      <alignment vertical="center" wrapText="1"/>
    </xf>
    <xf numFmtId="0" fontId="0" fillId="0" borderId="7" xfId="0" applyFill="1" applyBorder="1" applyAlignment="1" applyProtection="1">
      <alignment vertical="center" wrapText="1"/>
    </xf>
    <xf numFmtId="0" fontId="3" fillId="0" borderId="8" xfId="0" applyFont="1" applyBorder="1" applyAlignment="1" applyProtection="1">
      <alignment vertical="center" wrapText="1"/>
    </xf>
    <xf numFmtId="0" fontId="2" fillId="0" borderId="1" xfId="1" applyFont="1" applyFill="1" applyBorder="1" applyAlignment="1" applyProtection="1">
      <alignment horizontal="right" vertical="center" wrapText="1" readingOrder="2"/>
    </xf>
    <xf numFmtId="0" fontId="5" fillId="0" borderId="0" xfId="1" applyFont="1" applyFill="1" applyBorder="1" applyAlignment="1" applyProtection="1">
      <alignment horizontal="right" vertical="center" wrapText="1" readingOrder="2"/>
    </xf>
    <xf numFmtId="0" fontId="5" fillId="0" borderId="1" xfId="1" applyFont="1" applyFill="1" applyBorder="1" applyAlignment="1" applyProtection="1">
      <alignment horizontal="right" vertical="center" wrapText="1" readingOrder="2"/>
    </xf>
    <xf numFmtId="0" fontId="7" fillId="3" borderId="9" xfId="0" applyFont="1" applyFill="1" applyBorder="1" applyAlignment="1" applyProtection="1">
      <alignment horizontal="right" vertical="center" wrapText="1" readingOrder="2"/>
      <protection locked="0"/>
    </xf>
    <xf numFmtId="0" fontId="7" fillId="3" borderId="9" xfId="0" applyFont="1" applyFill="1" applyBorder="1" applyAlignment="1" applyProtection="1">
      <alignment horizontal="left" vertical="center" wrapText="1" readingOrder="1"/>
      <protection locked="0"/>
    </xf>
    <xf numFmtId="0" fontId="3" fillId="0" borderId="10" xfId="0" applyFont="1" applyBorder="1" applyAlignment="1" applyProtection="1">
      <alignment horizontal="right" vertical="center" wrapText="1"/>
    </xf>
    <xf numFmtId="0" fontId="7" fillId="3" borderId="11" xfId="0" applyFont="1" applyFill="1" applyBorder="1" applyAlignment="1" applyProtection="1">
      <alignment horizontal="right" vertical="center" wrapText="1" readingOrder="2"/>
      <protection locked="0"/>
    </xf>
    <xf numFmtId="0" fontId="7" fillId="3" borderId="12" xfId="0" applyFont="1" applyFill="1" applyBorder="1" applyAlignment="1" applyProtection="1">
      <alignment horizontal="right" vertical="center" wrapText="1" readingOrder="2"/>
      <protection locked="0"/>
    </xf>
    <xf numFmtId="0" fontId="7" fillId="3" borderId="11" xfId="0" applyFont="1" applyFill="1" applyBorder="1" applyAlignment="1" applyProtection="1">
      <alignment horizontal="left" vertical="center" wrapText="1" readingOrder="1"/>
      <protection locked="0"/>
    </xf>
    <xf numFmtId="0" fontId="7" fillId="3" borderId="12" xfId="0" applyFont="1" applyFill="1" applyBorder="1" applyAlignment="1" applyProtection="1">
      <alignment horizontal="left" vertical="center" wrapText="1" readingOrder="1"/>
      <protection locked="0"/>
    </xf>
    <xf numFmtId="0" fontId="3" fillId="2" borderId="13" xfId="0" applyFont="1" applyFill="1" applyBorder="1" applyAlignment="1" applyProtection="1">
      <alignment horizontal="center" vertical="center" wrapText="1"/>
    </xf>
    <xf numFmtId="0" fontId="3" fillId="2" borderId="14" xfId="0" applyFont="1" applyFill="1" applyBorder="1" applyAlignment="1">
      <alignment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vertical="center" wrapText="1"/>
    </xf>
    <xf numFmtId="0" fontId="3" fillId="0" borderId="19" xfId="0" applyFont="1" applyFill="1" applyBorder="1" applyAlignment="1" applyProtection="1">
      <alignment vertical="center" wrapText="1"/>
    </xf>
    <xf numFmtId="0" fontId="12" fillId="3" borderId="9" xfId="0" applyFont="1" applyFill="1" applyBorder="1" applyAlignment="1" applyProtection="1">
      <alignment vertical="center" wrapText="1"/>
      <protection locked="0"/>
    </xf>
    <xf numFmtId="0" fontId="3" fillId="0" borderId="20" xfId="0" applyFont="1" applyBorder="1" applyAlignment="1" applyProtection="1">
      <alignment horizontal="right" vertical="center" wrapText="1"/>
    </xf>
    <xf numFmtId="0" fontId="3" fillId="0" borderId="8" xfId="0" applyFont="1" applyFill="1" applyBorder="1" applyAlignment="1" applyProtection="1">
      <alignment horizontal="right" vertical="center" wrapText="1"/>
    </xf>
    <xf numFmtId="0" fontId="12" fillId="3" borderId="21" xfId="0" applyFont="1" applyFill="1" applyBorder="1" applyAlignment="1" applyProtection="1">
      <alignment vertical="center" wrapText="1"/>
      <protection locked="0"/>
    </xf>
    <xf numFmtId="0" fontId="5" fillId="0" borderId="0" xfId="0" applyFont="1" applyFill="1" applyBorder="1" applyAlignment="1" applyProtection="1">
      <alignment vertical="center" wrapText="1"/>
    </xf>
    <xf numFmtId="0" fontId="0" fillId="0" borderId="0" xfId="0" applyFill="1" applyBorder="1" applyAlignment="1" applyProtection="1">
      <alignment vertical="center" wrapText="1"/>
    </xf>
    <xf numFmtId="0" fontId="0" fillId="0" borderId="0" xfId="0" applyAlignment="1" applyProtection="1">
      <alignment horizontal="center" vertical="center" wrapText="1"/>
    </xf>
    <xf numFmtId="0" fontId="0" fillId="0" borderId="0" xfId="0" applyAlignment="1" applyProtection="1">
      <alignment wrapText="1"/>
    </xf>
    <xf numFmtId="0" fontId="0" fillId="0" borderId="0" xfId="0" applyAlignment="1" applyProtection="1">
      <alignment vertical="center" wrapText="1"/>
    </xf>
    <xf numFmtId="0" fontId="0" fillId="0" borderId="0" xfId="0" applyFill="1" applyAlignment="1" applyProtection="1">
      <alignment vertical="center" wrapText="1"/>
    </xf>
    <xf numFmtId="0" fontId="0" fillId="3" borderId="15" xfId="0" applyFill="1" applyBorder="1" applyAlignment="1" applyProtection="1">
      <alignment vertical="center" wrapText="1"/>
    </xf>
    <xf numFmtId="0" fontId="3" fillId="0" borderId="22" xfId="0" applyFont="1" applyBorder="1" applyAlignment="1" applyProtection="1">
      <alignment horizontal="right" vertical="center" wrapText="1"/>
    </xf>
    <xf numFmtId="0" fontId="0" fillId="4" borderId="10" xfId="0" applyFill="1" applyBorder="1" applyAlignment="1" applyProtection="1">
      <alignment vertical="center" wrapText="1"/>
    </xf>
    <xf numFmtId="0" fontId="3" fillId="0" borderId="23" xfId="0" applyFont="1" applyBorder="1" applyAlignment="1" applyProtection="1">
      <alignment horizontal="right" vertical="center" wrapText="1"/>
    </xf>
    <xf numFmtId="0" fontId="0" fillId="0" borderId="24" xfId="0" applyFill="1" applyBorder="1" applyAlignment="1" applyProtection="1">
      <alignment vertical="center" wrapText="1"/>
    </xf>
    <xf numFmtId="0" fontId="3" fillId="0" borderId="25" xfId="0" applyFont="1" applyBorder="1" applyAlignment="1" applyProtection="1">
      <alignment horizontal="right" vertical="center" wrapText="1"/>
    </xf>
    <xf numFmtId="0" fontId="3" fillId="2" borderId="2" xfId="0" applyFont="1" applyFill="1" applyBorder="1" applyAlignment="1" applyProtection="1">
      <alignment vertical="center" wrapText="1"/>
    </xf>
    <xf numFmtId="0" fontId="3" fillId="2" borderId="26" xfId="0" applyFont="1" applyFill="1" applyBorder="1" applyAlignment="1" applyProtection="1">
      <alignment horizontal="center" vertical="center" wrapText="1"/>
    </xf>
    <xf numFmtId="0" fontId="3" fillId="2" borderId="10" xfId="0" applyFont="1" applyFill="1" applyBorder="1" applyAlignment="1" applyProtection="1">
      <alignment horizontal="center" vertical="center" wrapText="1"/>
    </xf>
    <xf numFmtId="0" fontId="3" fillId="0" borderId="0" xfId="0" applyFont="1" applyFill="1" applyBorder="1" applyAlignment="1" applyProtection="1">
      <alignment horizontal="center" vertical="center" wrapText="1"/>
    </xf>
    <xf numFmtId="0" fontId="2" fillId="0" borderId="5" xfId="0" applyFont="1" applyBorder="1" applyAlignment="1" applyProtection="1">
      <alignment vertical="center" wrapText="1"/>
    </xf>
    <xf numFmtId="0" fontId="5" fillId="3" borderId="5" xfId="0" applyFont="1" applyFill="1" applyBorder="1" applyAlignment="1" applyProtection="1">
      <alignment vertical="center" wrapText="1"/>
      <protection locked="0"/>
    </xf>
    <xf numFmtId="0" fontId="2" fillId="0" borderId="7" xfId="0" applyFont="1" applyBorder="1" applyAlignment="1" applyProtection="1">
      <alignment vertical="center" wrapText="1"/>
    </xf>
    <xf numFmtId="0" fontId="5" fillId="3" borderId="7" xfId="0" applyFont="1" applyFill="1" applyBorder="1" applyAlignment="1" applyProtection="1">
      <alignment vertical="center" wrapText="1"/>
      <protection locked="0"/>
    </xf>
    <xf numFmtId="0" fontId="2" fillId="0" borderId="27" xfId="0" applyFont="1" applyBorder="1" applyAlignment="1" applyProtection="1">
      <alignment vertical="center" wrapText="1"/>
    </xf>
    <xf numFmtId="0" fontId="3" fillId="2" borderId="28" xfId="0" applyFont="1" applyFill="1" applyBorder="1" applyAlignment="1" applyProtection="1">
      <alignment horizontal="center" vertical="center" wrapText="1"/>
    </xf>
    <xf numFmtId="0" fontId="3" fillId="0" borderId="28" xfId="0" applyFont="1" applyFill="1" applyBorder="1" applyAlignment="1" applyProtection="1">
      <alignment vertical="center" wrapText="1"/>
    </xf>
    <xf numFmtId="0" fontId="3" fillId="2" borderId="2" xfId="0" applyFont="1" applyFill="1" applyBorder="1" applyAlignment="1" applyProtection="1">
      <alignment horizontal="right" vertical="center" wrapText="1"/>
    </xf>
    <xf numFmtId="0" fontId="3" fillId="2" borderId="29" xfId="0" applyFont="1" applyFill="1" applyBorder="1" applyAlignment="1" applyProtection="1">
      <alignment horizontal="right" vertical="center" wrapText="1"/>
    </xf>
    <xf numFmtId="0" fontId="3" fillId="0" borderId="0" xfId="0" applyFont="1" applyAlignment="1" applyProtection="1">
      <alignment horizontal="center" vertical="center" wrapText="1"/>
    </xf>
    <xf numFmtId="0" fontId="0" fillId="3" borderId="30" xfId="0" applyFill="1" applyBorder="1" applyAlignment="1" applyProtection="1">
      <alignment horizontal="center" vertical="center" wrapText="1"/>
    </xf>
    <xf numFmtId="0" fontId="3" fillId="0" borderId="31" xfId="0" applyFont="1" applyBorder="1" applyAlignment="1" applyProtection="1">
      <alignment horizontal="right" vertical="center" wrapText="1"/>
    </xf>
    <xf numFmtId="0" fontId="0" fillId="5" borderId="32" xfId="0" applyFill="1" applyBorder="1" applyAlignment="1" applyProtection="1">
      <alignment horizontal="center" vertical="center" wrapText="1"/>
    </xf>
    <xf numFmtId="0" fontId="3" fillId="0" borderId="12" xfId="0" applyFont="1" applyBorder="1" applyAlignment="1" applyProtection="1">
      <alignment horizontal="right" vertical="center" wrapText="1"/>
    </xf>
    <xf numFmtId="0" fontId="0" fillId="6" borderId="33" xfId="0" applyFill="1" applyBorder="1" applyAlignment="1" applyProtection="1">
      <alignment horizontal="center" vertical="center" wrapText="1"/>
    </xf>
    <xf numFmtId="0" fontId="3" fillId="0" borderId="18" xfId="0" applyFont="1" applyBorder="1" applyAlignment="1" applyProtection="1">
      <alignment horizontal="right" vertical="center" wrapText="1"/>
    </xf>
    <xf numFmtId="0" fontId="11" fillId="2" borderId="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3" fillId="0" borderId="22" xfId="0" applyFont="1" applyBorder="1" applyAlignment="1" applyProtection="1">
      <alignment vertical="center" wrapText="1"/>
    </xf>
    <xf numFmtId="14" fontId="0" fillId="3" borderId="34" xfId="0" applyNumberForma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wrapText="1"/>
    </xf>
    <xf numFmtId="0" fontId="3" fillId="0" borderId="20" xfId="0" applyFont="1" applyBorder="1" applyAlignment="1" applyProtection="1">
      <alignment vertical="center" wrapText="1"/>
    </xf>
    <xf numFmtId="0" fontId="7" fillId="3" borderId="9" xfId="0" applyFont="1" applyFill="1" applyBorder="1" applyAlignment="1" applyProtection="1">
      <alignment horizontal="center" vertical="center" wrapText="1"/>
      <protection locked="0"/>
    </xf>
    <xf numFmtId="0" fontId="11" fillId="2" borderId="10" xfId="0" applyFont="1" applyFill="1" applyBorder="1" applyAlignment="1" applyProtection="1">
      <alignment horizontal="center" vertical="center" wrapText="1"/>
    </xf>
    <xf numFmtId="0" fontId="11" fillId="2" borderId="22" xfId="0" applyFont="1" applyFill="1" applyBorder="1" applyAlignment="1" applyProtection="1">
      <alignment horizontal="center" vertical="center" wrapText="1"/>
    </xf>
    <xf numFmtId="0" fontId="7" fillId="3" borderId="11"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xf>
    <xf numFmtId="0" fontId="0" fillId="0" borderId="35" xfId="0" applyBorder="1" applyAlignment="1" applyProtection="1">
      <alignment vertical="center" wrapText="1"/>
    </xf>
    <xf numFmtId="0" fontId="11" fillId="2" borderId="36" xfId="0" applyFont="1" applyFill="1" applyBorder="1" applyAlignment="1" applyProtection="1">
      <alignment vertical="center" wrapText="1"/>
    </xf>
    <xf numFmtId="0" fontId="0" fillId="0" borderId="0" xfId="0" applyBorder="1" applyAlignment="1" applyProtection="1">
      <alignment vertical="center" wrapText="1"/>
    </xf>
    <xf numFmtId="0" fontId="3" fillId="0" borderId="10" xfId="0" applyFont="1" applyBorder="1" applyAlignment="1" applyProtection="1">
      <alignment vertical="center" wrapText="1"/>
    </xf>
    <xf numFmtId="0" fontId="0" fillId="0" borderId="0" xfId="0" applyNumberFormat="1" applyAlignment="1" applyProtection="1">
      <alignment vertical="center" wrapText="1"/>
    </xf>
    <xf numFmtId="0" fontId="2" fillId="0" borderId="0" xfId="0" applyFont="1" applyAlignment="1" applyProtection="1">
      <alignment vertical="center" wrapText="1"/>
    </xf>
    <xf numFmtId="0" fontId="5" fillId="0" borderId="0" xfId="0" applyFont="1" applyAlignment="1" applyProtection="1">
      <alignment vertical="center" wrapText="1"/>
    </xf>
    <xf numFmtId="0" fontId="7" fillId="0" borderId="0" xfId="0" applyFont="1" applyAlignment="1" applyProtection="1">
      <alignment vertical="center" wrapText="1"/>
    </xf>
    <xf numFmtId="0" fontId="0" fillId="0" borderId="0" xfId="0" applyAlignment="1">
      <alignment vertical="center" wrapText="1"/>
    </xf>
    <xf numFmtId="0" fontId="3" fillId="0" borderId="0" xfId="0" applyFont="1" applyAlignment="1">
      <alignment vertical="center" wrapText="1" readingOrder="2"/>
    </xf>
    <xf numFmtId="0" fontId="3" fillId="0" borderId="0" xfId="0" applyFont="1" applyBorder="1" applyAlignment="1">
      <alignment horizontal="right" vertical="center" wrapText="1"/>
    </xf>
    <xf numFmtId="0" fontId="0" fillId="7" borderId="37" xfId="0" applyFill="1" applyBorder="1" applyAlignment="1">
      <alignment vertical="center" wrapText="1"/>
    </xf>
    <xf numFmtId="0" fontId="3" fillId="0" borderId="14" xfId="0" applyFont="1" applyBorder="1" applyAlignment="1">
      <alignment horizontal="right" vertical="center" wrapText="1"/>
    </xf>
    <xf numFmtId="0" fontId="0" fillId="0" borderId="0" xfId="0" applyAlignment="1">
      <alignment horizontal="right" vertical="center" wrapText="1" readingOrder="2"/>
    </xf>
    <xf numFmtId="0" fontId="3" fillId="2" borderId="38" xfId="0" applyFont="1" applyFill="1" applyBorder="1" applyAlignment="1">
      <alignment vertical="center" wrapText="1"/>
    </xf>
    <xf numFmtId="0" fontId="3" fillId="2" borderId="39" xfId="0" applyFont="1" applyFill="1" applyBorder="1" applyAlignment="1">
      <alignment vertical="center" wrapText="1"/>
    </xf>
    <xf numFmtId="0" fontId="3" fillId="2" borderId="22" xfId="0" applyFont="1" applyFill="1" applyBorder="1" applyAlignment="1">
      <alignment horizontal="center" vertical="center" wrapText="1"/>
    </xf>
    <xf numFmtId="0" fontId="0" fillId="7" borderId="40" xfId="0" applyFill="1" applyBorder="1" applyAlignment="1" applyProtection="1">
      <alignment vertical="center" wrapText="1"/>
      <protection locked="0"/>
    </xf>
    <xf numFmtId="0" fontId="5" fillId="7" borderId="41" xfId="2" applyFont="1" applyFill="1" applyBorder="1" applyAlignment="1" applyProtection="1">
      <alignment horizontal="right" vertical="center" wrapText="1" readingOrder="2"/>
      <protection locked="0"/>
    </xf>
    <xf numFmtId="0" fontId="5" fillId="7" borderId="42" xfId="2" applyFont="1" applyFill="1" applyBorder="1" applyAlignment="1" applyProtection="1">
      <alignment horizontal="left" vertical="center" wrapText="1" readingOrder="1"/>
      <protection locked="0"/>
    </xf>
    <xf numFmtId="0" fontId="3" fillId="2" borderId="8" xfId="0" applyFont="1" applyFill="1" applyBorder="1" applyAlignment="1">
      <alignment horizontal="center" vertical="center" wrapText="1"/>
    </xf>
    <xf numFmtId="0" fontId="0" fillId="7" borderId="9" xfId="0" applyFill="1" applyBorder="1" applyAlignment="1" applyProtection="1">
      <alignment vertical="center" wrapText="1"/>
      <protection locked="0"/>
    </xf>
    <xf numFmtId="0" fontId="5" fillId="7" borderId="11" xfId="2" applyFont="1" applyFill="1" applyBorder="1" applyAlignment="1" applyProtection="1">
      <alignment horizontal="right" vertical="center" wrapText="1" readingOrder="2"/>
      <protection locked="0"/>
    </xf>
    <xf numFmtId="0" fontId="5" fillId="7" borderId="7" xfId="0" applyFont="1" applyFill="1" applyBorder="1" applyAlignment="1" applyProtection="1">
      <alignment horizontal="left" vertical="center" wrapText="1" readingOrder="1"/>
      <protection locked="0"/>
    </xf>
    <xf numFmtId="0" fontId="20" fillId="7" borderId="7" xfId="2" applyFont="1" applyFill="1" applyBorder="1" applyAlignment="1" applyProtection="1">
      <alignment horizontal="left" vertical="center" wrapText="1" readingOrder="1"/>
      <protection locked="0"/>
    </xf>
    <xf numFmtId="0" fontId="3" fillId="2" borderId="10" xfId="0" applyFont="1" applyFill="1" applyBorder="1" applyAlignment="1">
      <alignment horizontal="center" vertical="center" wrapText="1"/>
    </xf>
    <xf numFmtId="0" fontId="0" fillId="7" borderId="21" xfId="0" applyFill="1" applyBorder="1" applyAlignment="1" applyProtection="1">
      <alignment vertical="center" wrapText="1"/>
      <protection locked="0"/>
    </xf>
    <xf numFmtId="0" fontId="5" fillId="7" borderId="43" xfId="2" applyFont="1" applyFill="1" applyBorder="1" applyAlignment="1" applyProtection="1">
      <alignment horizontal="right" vertical="center" wrapText="1" readingOrder="2"/>
      <protection locked="0"/>
    </xf>
    <xf numFmtId="0" fontId="5" fillId="7" borderId="27" xfId="0" applyFont="1" applyFill="1" applyBorder="1" applyAlignment="1" applyProtection="1">
      <alignment horizontal="left" vertical="center" wrapText="1" readingOrder="1"/>
      <protection locked="0"/>
    </xf>
    <xf numFmtId="0" fontId="0" fillId="0" borderId="0" xfId="0" applyFill="1" applyAlignment="1">
      <alignment vertical="center" wrapText="1"/>
    </xf>
    <xf numFmtId="0" fontId="3" fillId="2" borderId="36" xfId="0" applyFont="1" applyFill="1" applyBorder="1" applyAlignment="1">
      <alignment vertical="center" wrapText="1"/>
    </xf>
    <xf numFmtId="0" fontId="3" fillId="2" borderId="44" xfId="0" applyFont="1" applyFill="1" applyBorder="1" applyAlignment="1">
      <alignment vertical="center" wrapText="1"/>
    </xf>
    <xf numFmtId="0" fontId="3" fillId="0" borderId="0" xfId="0" applyFont="1" applyFill="1" applyBorder="1" applyAlignment="1">
      <alignment vertical="center" wrapText="1"/>
    </xf>
    <xf numFmtId="0" fontId="0" fillId="7" borderId="34" xfId="0" applyFill="1" applyBorder="1" applyAlignment="1" applyProtection="1">
      <alignment horizontal="right" vertical="center" wrapText="1" readingOrder="2"/>
      <protection locked="0"/>
    </xf>
    <xf numFmtId="0" fontId="5" fillId="7" borderId="4" xfId="0" applyFont="1" applyFill="1" applyBorder="1" applyAlignment="1" applyProtection="1">
      <alignment horizontal="right" vertical="center" wrapText="1" readingOrder="2"/>
      <protection locked="0"/>
    </xf>
    <xf numFmtId="0" fontId="5" fillId="7" borderId="45" xfId="2" applyFont="1" applyFill="1" applyBorder="1" applyAlignment="1" applyProtection="1">
      <alignment horizontal="left" vertical="center" wrapText="1" readingOrder="1"/>
      <protection locked="0"/>
    </xf>
    <xf numFmtId="0" fontId="0" fillId="7" borderId="9" xfId="0" applyFill="1" applyBorder="1" applyAlignment="1" applyProtection="1">
      <alignment horizontal="right" vertical="center" wrapText="1" readingOrder="2"/>
      <protection locked="0"/>
    </xf>
    <xf numFmtId="0" fontId="5" fillId="7" borderId="6" xfId="0" applyFont="1" applyFill="1" applyBorder="1" applyAlignment="1" applyProtection="1">
      <alignment horizontal="right" vertical="center" wrapText="1" readingOrder="2"/>
      <protection locked="0"/>
    </xf>
    <xf numFmtId="0" fontId="20" fillId="7" borderId="12" xfId="2" applyFont="1" applyFill="1" applyBorder="1" applyAlignment="1" applyProtection="1">
      <alignment horizontal="left" vertical="center" wrapText="1" readingOrder="1"/>
      <protection locked="0"/>
    </xf>
    <xf numFmtId="0" fontId="5" fillId="7" borderId="12" xfId="2" applyFont="1" applyFill="1" applyBorder="1" applyAlignment="1" applyProtection="1">
      <alignment horizontal="left" vertical="center" wrapText="1" readingOrder="1"/>
      <protection locked="0"/>
    </xf>
    <xf numFmtId="0" fontId="0" fillId="7" borderId="21" xfId="0" applyFill="1" applyBorder="1" applyAlignment="1" applyProtection="1">
      <alignment horizontal="right" vertical="center" wrapText="1" readingOrder="2"/>
      <protection locked="0"/>
    </xf>
    <xf numFmtId="0" fontId="5" fillId="7" borderId="46" xfId="0" applyFont="1" applyFill="1" applyBorder="1" applyAlignment="1" applyProtection="1">
      <alignment horizontal="right" vertical="center" wrapText="1" readingOrder="2"/>
      <protection locked="0"/>
    </xf>
    <xf numFmtId="0" fontId="5" fillId="7" borderId="18" xfId="2" applyFont="1" applyFill="1" applyBorder="1" applyAlignment="1" applyProtection="1">
      <alignment horizontal="left" vertical="center" wrapText="1" readingOrder="1"/>
      <protection locked="0"/>
    </xf>
    <xf numFmtId="14" fontId="7" fillId="8" borderId="32" xfId="0" applyNumberFormat="1" applyFont="1" applyFill="1" applyBorder="1" applyAlignment="1" applyProtection="1">
      <alignment horizontal="center" vertical="center" wrapText="1"/>
    </xf>
    <xf numFmtId="0" fontId="7" fillId="3" borderId="47" xfId="0" applyFont="1" applyFill="1" applyBorder="1" applyAlignment="1" applyProtection="1">
      <alignment horizontal="center" vertical="center" wrapText="1"/>
      <protection locked="0"/>
    </xf>
    <xf numFmtId="0" fontId="7" fillId="0" borderId="0" xfId="0" applyFont="1" applyAlignment="1" applyProtection="1">
      <alignment wrapText="1"/>
    </xf>
    <xf numFmtId="0" fontId="6" fillId="0" borderId="1" xfId="1" quotePrefix="1" applyFont="1" applyFill="1" applyBorder="1" applyAlignment="1" applyProtection="1">
      <alignment horizontal="right" vertical="center" wrapText="1" readingOrder="2"/>
    </xf>
    <xf numFmtId="0" fontId="19" fillId="0" borderId="0" xfId="0" applyFont="1" applyAlignment="1">
      <alignment horizontal="right" readingOrder="2"/>
    </xf>
    <xf numFmtId="0" fontId="16" fillId="0" borderId="0" xfId="0" applyFont="1" applyAlignment="1">
      <alignment horizontal="right" readingOrder="2"/>
    </xf>
    <xf numFmtId="0" fontId="16" fillId="0" borderId="0" xfId="0" applyFont="1" applyAlignment="1">
      <alignment horizontal="right" wrapText="1" readingOrder="2"/>
    </xf>
    <xf numFmtId="0" fontId="18" fillId="0" borderId="0" xfId="0" applyFont="1" applyAlignment="1">
      <alignment horizontal="right"/>
    </xf>
    <xf numFmtId="0" fontId="16" fillId="0" borderId="0" xfId="0" applyFont="1" applyAlignment="1">
      <alignment horizontal="right" vertical="top" wrapText="1" readingOrder="2"/>
    </xf>
    <xf numFmtId="0" fontId="16" fillId="0" borderId="0" xfId="0" applyFont="1" applyAlignment="1">
      <alignment horizontal="center" readingOrder="2"/>
    </xf>
    <xf numFmtId="0" fontId="7" fillId="3" borderId="52" xfId="0" applyFont="1" applyFill="1" applyBorder="1" applyAlignment="1" applyProtection="1">
      <alignment horizontal="right" vertical="center" wrapText="1"/>
      <protection locked="0"/>
    </xf>
    <xf numFmtId="0" fontId="0" fillId="3" borderId="40" xfId="0" applyFill="1" applyBorder="1" applyAlignment="1" applyProtection="1">
      <alignment horizontal="right" vertical="center" wrapText="1"/>
      <protection locked="0"/>
    </xf>
    <xf numFmtId="0" fontId="0" fillId="6" borderId="11" xfId="0" applyFill="1" applyBorder="1" applyAlignment="1" applyProtection="1">
      <alignment horizontal="right" vertical="center" wrapText="1"/>
      <protection locked="0"/>
    </xf>
    <xf numFmtId="0" fontId="0" fillId="6" borderId="12" xfId="0" applyFill="1" applyBorder="1" applyAlignment="1" applyProtection="1">
      <alignment horizontal="right" vertical="center" wrapText="1"/>
      <protection locked="0"/>
    </xf>
    <xf numFmtId="0" fontId="0" fillId="3" borderId="11" xfId="0" applyFill="1" applyBorder="1" applyAlignment="1" applyProtection="1">
      <alignment horizontal="right" vertical="center" wrapText="1"/>
      <protection locked="0"/>
    </xf>
    <xf numFmtId="0" fontId="11" fillId="2" borderId="59" xfId="0" applyFont="1" applyFill="1" applyBorder="1" applyAlignment="1" applyProtection="1">
      <alignment horizontal="center" vertical="center" wrapText="1"/>
    </xf>
    <xf numFmtId="0" fontId="11" fillId="2" borderId="39" xfId="0" applyFont="1" applyFill="1" applyBorder="1" applyAlignment="1" applyProtection="1">
      <alignment horizontal="center" vertical="center" wrapText="1"/>
    </xf>
    <xf numFmtId="0" fontId="11" fillId="2" borderId="60" xfId="0" applyFont="1" applyFill="1" applyBorder="1" applyAlignment="1" applyProtection="1">
      <alignment horizontal="center" vertical="center" wrapText="1"/>
    </xf>
    <xf numFmtId="0" fontId="11" fillId="2" borderId="48" xfId="0" applyFont="1" applyFill="1" applyBorder="1" applyAlignment="1" applyProtection="1">
      <alignment horizontal="center" vertical="center" wrapText="1"/>
    </xf>
    <xf numFmtId="0" fontId="11" fillId="2" borderId="0" xfId="0" applyFont="1" applyFill="1" applyBorder="1" applyAlignment="1" applyProtection="1">
      <alignment horizontal="center" vertical="center" wrapText="1"/>
    </xf>
    <xf numFmtId="0" fontId="11" fillId="2" borderId="61" xfId="0" applyFont="1" applyFill="1" applyBorder="1" applyAlignment="1" applyProtection="1">
      <alignment horizontal="center" vertical="center" wrapText="1"/>
    </xf>
    <xf numFmtId="0" fontId="11" fillId="2" borderId="35" xfId="0" applyFont="1" applyFill="1" applyBorder="1" applyAlignment="1" applyProtection="1">
      <alignment horizontal="center" vertical="center" wrapText="1"/>
    </xf>
    <xf numFmtId="0" fontId="11" fillId="2" borderId="29" xfId="0" applyFont="1" applyFill="1" applyBorder="1" applyAlignment="1" applyProtection="1">
      <alignment horizontal="center" vertical="center" wrapText="1"/>
    </xf>
    <xf numFmtId="0" fontId="7" fillId="0" borderId="11" xfId="0" applyFont="1" applyBorder="1" applyAlignment="1" applyProtection="1">
      <alignment horizontal="center" vertical="center" wrapText="1"/>
    </xf>
    <xf numFmtId="0" fontId="7" fillId="0" borderId="12" xfId="0" applyFont="1" applyBorder="1" applyAlignment="1" applyProtection="1">
      <alignment horizontal="center" vertical="center" wrapText="1"/>
    </xf>
    <xf numFmtId="0" fontId="7" fillId="5" borderId="20" xfId="0" applyFont="1" applyFill="1" applyBorder="1" applyAlignment="1" applyProtection="1">
      <alignment horizontal="right" vertical="center" wrapText="1" readingOrder="2"/>
      <protection locked="0"/>
    </xf>
    <xf numFmtId="0" fontId="7" fillId="5" borderId="6" xfId="0" applyFont="1" applyFill="1" applyBorder="1" applyAlignment="1" applyProtection="1">
      <alignment horizontal="right" vertical="center" wrapText="1" readingOrder="2"/>
      <protection locked="0"/>
    </xf>
    <xf numFmtId="0" fontId="7" fillId="5" borderId="7" xfId="0" applyFont="1" applyFill="1" applyBorder="1" applyAlignment="1" applyProtection="1">
      <alignment horizontal="right" vertical="center" wrapText="1" readingOrder="2"/>
      <protection locked="0"/>
    </xf>
    <xf numFmtId="0" fontId="7" fillId="3" borderId="6" xfId="0" applyFont="1" applyFill="1" applyBorder="1" applyAlignment="1" applyProtection="1">
      <alignment horizontal="right" vertical="center" wrapText="1"/>
      <protection locked="0"/>
    </xf>
    <xf numFmtId="0" fontId="7" fillId="3" borderId="7" xfId="0" applyFont="1" applyFill="1" applyBorder="1" applyAlignment="1" applyProtection="1">
      <alignment horizontal="right" vertical="center" wrapText="1"/>
      <protection locked="0"/>
    </xf>
    <xf numFmtId="0" fontId="9" fillId="10" borderId="28" xfId="2" applyFill="1" applyBorder="1" applyAlignment="1" applyProtection="1">
      <alignment horizontal="center" vertical="center" wrapText="1"/>
    </xf>
    <xf numFmtId="0" fontId="9" fillId="10" borderId="46" xfId="2" applyFill="1" applyBorder="1" applyAlignment="1" applyProtection="1">
      <alignment horizontal="center" vertical="center" wrapText="1"/>
    </xf>
    <xf numFmtId="0" fontId="9" fillId="10" borderId="27" xfId="2" applyFill="1" applyBorder="1" applyAlignment="1" applyProtection="1">
      <alignment horizontal="center" vertical="center" wrapText="1"/>
    </xf>
    <xf numFmtId="0" fontId="0" fillId="9" borderId="47" xfId="0" applyFill="1" applyBorder="1" applyAlignment="1" applyProtection="1">
      <alignment horizontal="right" vertical="center" wrapText="1"/>
      <protection locked="0"/>
    </xf>
    <xf numFmtId="0" fontId="0" fillId="9" borderId="6" xfId="0" applyFill="1" applyBorder="1" applyAlignment="1" applyProtection="1">
      <alignment horizontal="right" vertical="center" wrapText="1"/>
      <protection locked="0"/>
    </xf>
    <xf numFmtId="0" fontId="0" fillId="9" borderId="9" xfId="0" applyFill="1" applyBorder="1" applyAlignment="1" applyProtection="1">
      <alignment horizontal="right" vertical="center" wrapText="1"/>
      <protection locked="0"/>
    </xf>
    <xf numFmtId="0" fontId="7" fillId="0" borderId="55" xfId="0" applyFont="1" applyBorder="1" applyAlignment="1" applyProtection="1">
      <alignment horizontal="right" vertical="center" wrapText="1"/>
    </xf>
    <xf numFmtId="0" fontId="7" fillId="0" borderId="49" xfId="0" applyFont="1" applyBorder="1" applyAlignment="1" applyProtection="1">
      <alignment horizontal="right" vertical="center" wrapText="1"/>
    </xf>
    <xf numFmtId="0" fontId="7" fillId="0" borderId="17" xfId="0" applyFont="1" applyBorder="1" applyAlignment="1" applyProtection="1">
      <alignment horizontal="right" vertical="center" wrapText="1"/>
    </xf>
    <xf numFmtId="0" fontId="7" fillId="0" borderId="56" xfId="0" applyFont="1" applyBorder="1" applyAlignment="1" applyProtection="1">
      <alignment horizontal="right" vertical="center" wrapText="1"/>
    </xf>
    <xf numFmtId="0" fontId="7" fillId="0" borderId="4" xfId="0" applyFont="1" applyBorder="1" applyAlignment="1" applyProtection="1">
      <alignment horizontal="right" vertical="center" wrapText="1"/>
    </xf>
    <xf numFmtId="0" fontId="7" fillId="0" borderId="5" xfId="0" applyFont="1" applyBorder="1" applyAlignment="1" applyProtection="1">
      <alignment horizontal="right" vertical="center" wrapText="1"/>
    </xf>
    <xf numFmtId="0" fontId="0" fillId="3" borderId="7" xfId="0" applyFill="1" applyBorder="1" applyAlignment="1" applyProtection="1">
      <alignment horizontal="right" vertical="center" wrapText="1"/>
      <protection locked="0"/>
    </xf>
    <xf numFmtId="0" fontId="7" fillId="9" borderId="6" xfId="0" applyFont="1" applyFill="1" applyBorder="1" applyAlignment="1" applyProtection="1">
      <alignment horizontal="left" vertical="center" wrapText="1"/>
      <protection locked="0"/>
    </xf>
    <xf numFmtId="0" fontId="7" fillId="9" borderId="7" xfId="0" applyFont="1" applyFill="1" applyBorder="1" applyAlignment="1" applyProtection="1">
      <alignment horizontal="left" vertical="center" wrapText="1"/>
      <protection locked="0"/>
    </xf>
    <xf numFmtId="0" fontId="14" fillId="2" borderId="57" xfId="0" applyFont="1" applyFill="1" applyBorder="1" applyAlignment="1" applyProtection="1">
      <alignment horizontal="center" vertical="center" wrapText="1"/>
    </xf>
    <xf numFmtId="0" fontId="14" fillId="2" borderId="58" xfId="0" applyFont="1" applyFill="1" applyBorder="1" applyAlignment="1" applyProtection="1">
      <alignment horizontal="center" vertical="center" wrapText="1"/>
    </xf>
    <xf numFmtId="0" fontId="14" fillId="2" borderId="23" xfId="0" applyFont="1" applyFill="1" applyBorder="1" applyAlignment="1" applyProtection="1">
      <alignment horizontal="center" vertical="center" wrapText="1"/>
    </xf>
    <xf numFmtId="0" fontId="0" fillId="6" borderId="47" xfId="0" applyFill="1" applyBorder="1" applyAlignment="1" applyProtection="1">
      <alignment horizontal="left" vertical="center" wrapText="1" readingOrder="1"/>
      <protection locked="0"/>
    </xf>
    <xf numFmtId="0" fontId="0" fillId="6" borderId="9" xfId="0" applyFill="1" applyBorder="1" applyAlignment="1" applyProtection="1">
      <alignment horizontal="left" vertical="center" wrapText="1" readingOrder="1"/>
      <protection locked="0"/>
    </xf>
    <xf numFmtId="0" fontId="0" fillId="6" borderId="7" xfId="0" applyFill="1" applyBorder="1" applyAlignment="1" applyProtection="1">
      <alignment horizontal="left" vertical="center" wrapText="1" readingOrder="1"/>
      <protection locked="0"/>
    </xf>
    <xf numFmtId="0" fontId="0" fillId="5" borderId="11" xfId="0" applyFill="1" applyBorder="1" applyAlignment="1" applyProtection="1">
      <alignment horizontal="left" vertical="center" wrapText="1"/>
      <protection locked="0"/>
    </xf>
    <xf numFmtId="0" fontId="3" fillId="0" borderId="0" xfId="0" applyFont="1" applyAlignment="1" applyProtection="1">
      <alignment horizontal="left" vertical="center" wrapText="1"/>
    </xf>
    <xf numFmtId="0" fontId="7" fillId="5" borderId="20" xfId="0" applyFont="1" applyFill="1" applyBorder="1" applyAlignment="1" applyProtection="1">
      <alignment horizontal="right" vertical="center" wrapText="1"/>
      <protection locked="0"/>
    </xf>
    <xf numFmtId="0" fontId="7" fillId="5" borderId="6" xfId="0" applyFont="1" applyFill="1" applyBorder="1" applyAlignment="1" applyProtection="1">
      <alignment horizontal="right" vertical="center" wrapText="1"/>
      <protection locked="0"/>
    </xf>
    <xf numFmtId="0" fontId="7" fillId="5" borderId="7" xfId="0" applyFont="1" applyFill="1" applyBorder="1" applyAlignment="1" applyProtection="1">
      <alignment horizontal="right" vertical="center" wrapText="1"/>
      <protection locked="0"/>
    </xf>
    <xf numFmtId="0" fontId="7" fillId="6" borderId="11" xfId="0" applyFont="1" applyFill="1" applyBorder="1" applyAlignment="1" applyProtection="1">
      <alignment horizontal="right" vertical="center" wrapText="1"/>
      <protection locked="0"/>
    </xf>
    <xf numFmtId="0" fontId="5" fillId="6" borderId="47" xfId="2" applyFont="1" applyFill="1" applyBorder="1" applyAlignment="1" applyProtection="1">
      <alignment horizontal="left" vertical="center" wrapText="1" readingOrder="1"/>
      <protection locked="0"/>
    </xf>
    <xf numFmtId="0" fontId="5" fillId="6" borderId="7" xfId="0" applyFont="1" applyFill="1" applyBorder="1" applyAlignment="1" applyProtection="1">
      <alignment horizontal="left" vertical="center" wrapText="1" readingOrder="1"/>
      <protection locked="0"/>
    </xf>
    <xf numFmtId="0" fontId="0" fillId="5" borderId="12" xfId="0" applyFill="1" applyBorder="1" applyAlignment="1" applyProtection="1">
      <alignment horizontal="left" vertical="center" wrapText="1"/>
      <protection locked="0"/>
    </xf>
    <xf numFmtId="0" fontId="0" fillId="3" borderId="20" xfId="0" applyFill="1" applyBorder="1" applyAlignment="1" applyProtection="1">
      <alignment horizontal="left" vertical="center" wrapText="1" readingOrder="1"/>
      <protection locked="0"/>
    </xf>
    <xf numFmtId="0" fontId="0" fillId="3" borderId="9" xfId="0" applyFill="1" applyBorder="1" applyAlignment="1" applyProtection="1">
      <alignment horizontal="left" vertical="center" wrapText="1" readingOrder="1"/>
      <protection locked="0"/>
    </xf>
    <xf numFmtId="0" fontId="5" fillId="3" borderId="47" xfId="2" applyFont="1" applyFill="1" applyBorder="1" applyAlignment="1" applyProtection="1">
      <alignment horizontal="left" vertical="center" wrapText="1" readingOrder="1"/>
      <protection locked="0"/>
    </xf>
    <xf numFmtId="0" fontId="5" fillId="3" borderId="9" xfId="0" applyFont="1" applyFill="1" applyBorder="1" applyAlignment="1" applyProtection="1">
      <alignment horizontal="left" vertical="center" wrapText="1" readingOrder="1"/>
      <protection locked="0"/>
    </xf>
    <xf numFmtId="0" fontId="5" fillId="6" borderId="9" xfId="0" applyFont="1" applyFill="1" applyBorder="1" applyAlignment="1" applyProtection="1">
      <alignment horizontal="left" vertical="center" wrapText="1" readingOrder="1"/>
      <protection locked="0"/>
    </xf>
    <xf numFmtId="0" fontId="11" fillId="2" borderId="13" xfId="0" applyFont="1" applyFill="1" applyBorder="1" applyAlignment="1" applyProtection="1">
      <alignment horizontal="center" vertical="center" wrapText="1"/>
    </xf>
    <xf numFmtId="0" fontId="8" fillId="0" borderId="48" xfId="0" applyFont="1" applyFill="1" applyBorder="1" applyAlignment="1" applyProtection="1">
      <alignment horizontal="center" vertical="center" wrapText="1"/>
    </xf>
    <xf numFmtId="0" fontId="8" fillId="0" borderId="6" xfId="0" applyFont="1" applyFill="1" applyBorder="1" applyAlignment="1" applyProtection="1">
      <alignment horizontal="center" vertical="center" wrapText="1"/>
    </xf>
    <xf numFmtId="0" fontId="8" fillId="0" borderId="7" xfId="0" applyFont="1" applyFill="1" applyBorder="1" applyAlignment="1" applyProtection="1">
      <alignment horizontal="center" vertical="center" wrapText="1"/>
    </xf>
    <xf numFmtId="0" fontId="0" fillId="3" borderId="43" xfId="0" applyFill="1" applyBorder="1" applyAlignment="1" applyProtection="1">
      <alignment horizontal="right" vertical="center" wrapText="1"/>
      <protection locked="0"/>
    </xf>
    <xf numFmtId="0" fontId="0" fillId="6" borderId="43" xfId="0" applyFill="1" applyBorder="1" applyAlignment="1" applyProtection="1">
      <alignment horizontal="right" vertical="center" wrapText="1"/>
      <protection locked="0"/>
    </xf>
    <xf numFmtId="0" fontId="0" fillId="6" borderId="18" xfId="0" applyFill="1" applyBorder="1" applyAlignment="1" applyProtection="1">
      <alignment horizontal="right" vertical="center" wrapText="1"/>
      <protection locked="0"/>
    </xf>
    <xf numFmtId="0" fontId="0" fillId="6" borderId="54" xfId="0" applyFill="1" applyBorder="1" applyAlignment="1" applyProtection="1">
      <alignment horizontal="right" vertical="center" wrapText="1"/>
      <protection locked="0"/>
    </xf>
    <xf numFmtId="0" fontId="0" fillId="6" borderId="40" xfId="0" applyFill="1" applyBorder="1" applyAlignment="1" applyProtection="1">
      <alignment horizontal="right" vertical="center" wrapText="1"/>
      <protection locked="0"/>
    </xf>
    <xf numFmtId="0" fontId="0" fillId="6" borderId="42" xfId="0" applyFill="1" applyBorder="1" applyAlignment="1" applyProtection="1">
      <alignment horizontal="right" vertical="center" wrapText="1"/>
      <protection locked="0"/>
    </xf>
    <xf numFmtId="0" fontId="7" fillId="5" borderId="11" xfId="0" applyFont="1" applyFill="1" applyBorder="1" applyAlignment="1" applyProtection="1">
      <alignment horizontal="left" vertical="center" wrapText="1" readingOrder="2"/>
      <protection locked="0"/>
    </xf>
    <xf numFmtId="0" fontId="0" fillId="5" borderId="11" xfId="0" applyFill="1" applyBorder="1" applyAlignment="1" applyProtection="1">
      <alignment horizontal="left" vertical="center" wrapText="1" readingOrder="2"/>
      <protection locked="0"/>
    </xf>
    <xf numFmtId="0" fontId="0" fillId="0" borderId="11" xfId="0" applyBorder="1" applyAlignment="1" applyProtection="1">
      <alignment horizontal="center" vertical="center" wrapText="1"/>
    </xf>
    <xf numFmtId="0" fontId="0" fillId="0" borderId="12" xfId="0" applyBorder="1" applyAlignment="1" applyProtection="1">
      <alignment horizontal="center" vertical="center" wrapText="1"/>
    </xf>
    <xf numFmtId="0" fontId="3" fillId="0" borderId="48" xfId="0" applyFont="1" applyFill="1" applyBorder="1" applyAlignment="1" applyProtection="1">
      <alignment horizontal="center" vertical="center" wrapText="1"/>
    </xf>
    <xf numFmtId="0" fontId="3" fillId="0" borderId="6" xfId="0" applyFont="1" applyFill="1" applyBorder="1" applyAlignment="1" applyProtection="1">
      <alignment horizontal="center" vertical="center" wrapText="1"/>
    </xf>
    <xf numFmtId="0" fontId="3" fillId="0" borderId="4" xfId="0" applyFont="1" applyFill="1" applyBorder="1" applyAlignment="1" applyProtection="1">
      <alignment horizontal="center" vertical="center" wrapText="1"/>
    </xf>
    <xf numFmtId="0" fontId="3" fillId="0" borderId="5" xfId="0" applyFont="1" applyFill="1" applyBorder="1" applyAlignment="1" applyProtection="1">
      <alignment horizontal="center" vertical="center" wrapText="1"/>
    </xf>
    <xf numFmtId="0" fontId="11" fillId="2" borderId="50" xfId="0" applyFont="1" applyFill="1" applyBorder="1" applyAlignment="1" applyProtection="1">
      <alignment horizontal="center" vertical="center" wrapText="1"/>
    </xf>
    <xf numFmtId="0" fontId="11" fillId="2" borderId="36" xfId="0" applyFont="1" applyFill="1" applyBorder="1" applyAlignment="1" applyProtection="1">
      <alignment horizontal="center" vertical="center" wrapText="1"/>
    </xf>
    <xf numFmtId="0" fontId="7" fillId="3" borderId="51" xfId="0" applyFont="1" applyFill="1" applyBorder="1" applyAlignment="1" applyProtection="1">
      <alignment horizontal="right" vertical="center" wrapText="1"/>
      <protection locked="0"/>
    </xf>
    <xf numFmtId="0" fontId="0" fillId="3" borderId="49" xfId="0" applyFill="1" applyBorder="1" applyAlignment="1" applyProtection="1">
      <alignment horizontal="right" vertical="center" wrapText="1"/>
      <protection locked="0"/>
    </xf>
    <xf numFmtId="0" fontId="0" fillId="3" borderId="17" xfId="0" applyFill="1" applyBorder="1" applyAlignment="1" applyProtection="1">
      <alignment horizontal="right" vertical="center" wrapText="1"/>
      <protection locked="0"/>
    </xf>
    <xf numFmtId="0" fontId="0" fillId="3" borderId="53" xfId="0" applyFill="1" applyBorder="1" applyAlignment="1" applyProtection="1">
      <alignment horizontal="right" vertical="center" wrapText="1"/>
      <protection locked="0"/>
    </xf>
    <xf numFmtId="0" fontId="0" fillId="3" borderId="42" xfId="0" applyFill="1" applyBorder="1" applyAlignment="1" applyProtection="1">
      <alignment horizontal="right" vertical="center" wrapText="1"/>
      <protection locked="0"/>
    </xf>
    <xf numFmtId="0" fontId="7" fillId="3" borderId="28" xfId="0" applyFont="1" applyFill="1" applyBorder="1" applyAlignment="1" applyProtection="1">
      <alignment horizontal="right" vertical="center" wrapText="1"/>
      <protection locked="0"/>
    </xf>
    <xf numFmtId="0" fontId="0" fillId="3" borderId="46" xfId="0" applyFill="1" applyBorder="1" applyAlignment="1" applyProtection="1">
      <alignment horizontal="right" vertical="center" wrapText="1"/>
      <protection locked="0"/>
    </xf>
    <xf numFmtId="0" fontId="0" fillId="3" borderId="27" xfId="0" applyFill="1" applyBorder="1" applyAlignment="1" applyProtection="1">
      <alignment horizontal="right" vertical="center" wrapText="1"/>
      <protection locked="0"/>
    </xf>
    <xf numFmtId="0" fontId="3" fillId="0" borderId="49" xfId="0" applyFont="1" applyFill="1" applyBorder="1" applyAlignment="1" applyProtection="1">
      <alignment horizontal="center" vertical="center" wrapText="1"/>
    </xf>
    <xf numFmtId="0" fontId="3" fillId="0" borderId="17" xfId="0" applyFont="1" applyFill="1" applyBorder="1" applyAlignment="1" applyProtection="1">
      <alignment horizontal="center" vertical="center" wrapText="1"/>
    </xf>
    <xf numFmtId="0" fontId="7" fillId="3" borderId="11" xfId="0" applyFont="1" applyFill="1" applyBorder="1" applyAlignment="1" applyProtection="1">
      <alignment horizontal="right" vertical="center" wrapText="1"/>
      <protection locked="0"/>
    </xf>
    <xf numFmtId="0" fontId="3" fillId="2" borderId="19" xfId="0" applyFont="1" applyFill="1" applyBorder="1" applyAlignment="1" applyProtection="1">
      <alignment horizontal="center" vertical="center" wrapText="1"/>
    </xf>
    <xf numFmtId="0" fontId="3" fillId="2" borderId="8" xfId="0" applyFont="1" applyFill="1" applyBorder="1" applyAlignment="1" applyProtection="1">
      <alignment horizontal="center" vertical="center" wrapText="1"/>
    </xf>
    <xf numFmtId="0" fontId="12" fillId="3" borderId="7" xfId="0" applyFont="1" applyFill="1" applyBorder="1" applyAlignment="1" applyProtection="1">
      <alignment horizontal="right" vertical="center" wrapText="1" readingOrder="2"/>
      <protection locked="0"/>
    </xf>
    <xf numFmtId="0" fontId="3" fillId="2" borderId="13" xfId="0" applyFont="1" applyFill="1" applyBorder="1" applyAlignment="1" applyProtection="1">
      <alignment horizontal="center" vertical="center" wrapText="1"/>
    </xf>
    <xf numFmtId="0" fontId="3" fillId="2" borderId="35" xfId="0" applyFont="1" applyFill="1" applyBorder="1" applyAlignment="1" applyProtection="1">
      <alignment horizontal="center" vertical="center" wrapText="1"/>
    </xf>
    <xf numFmtId="0" fontId="3" fillId="2" borderId="29" xfId="0" applyFont="1" applyFill="1" applyBorder="1" applyAlignment="1" applyProtection="1">
      <alignment horizontal="center" vertical="center" wrapText="1"/>
    </xf>
    <xf numFmtId="0" fontId="5" fillId="3" borderId="57" xfId="0" applyFont="1" applyFill="1" applyBorder="1" applyAlignment="1" applyProtection="1">
      <alignment horizontal="right" vertical="center" wrapText="1"/>
      <protection locked="0"/>
    </xf>
    <xf numFmtId="0" fontId="5" fillId="3" borderId="23" xfId="0" applyFont="1" applyFill="1" applyBorder="1" applyAlignment="1" applyProtection="1">
      <alignment horizontal="right" vertical="center" wrapText="1"/>
      <protection locked="0"/>
    </xf>
    <xf numFmtId="0" fontId="3" fillId="0" borderId="62" xfId="0" applyFont="1" applyBorder="1" applyAlignment="1" applyProtection="1">
      <alignment horizontal="right" vertical="center" wrapText="1"/>
    </xf>
    <xf numFmtId="0" fontId="3" fillId="0" borderId="63" xfId="0" applyFont="1" applyBorder="1" applyAlignment="1" applyProtection="1">
      <alignment horizontal="right" vertical="center" wrapText="1"/>
    </xf>
    <xf numFmtId="0" fontId="12" fillId="3" borderId="6" xfId="0" applyFont="1" applyFill="1" applyBorder="1" applyAlignment="1" applyProtection="1">
      <alignment horizontal="right" vertical="center" wrapText="1"/>
      <protection locked="0"/>
    </xf>
    <xf numFmtId="0" fontId="12" fillId="3" borderId="7" xfId="0" applyFont="1" applyFill="1" applyBorder="1" applyAlignment="1" applyProtection="1">
      <alignment horizontal="right" vertical="center" wrapText="1"/>
      <protection locked="0"/>
    </xf>
    <xf numFmtId="0" fontId="13" fillId="2" borderId="48" xfId="0" applyFont="1" applyFill="1" applyBorder="1" applyAlignment="1" applyProtection="1">
      <alignment horizontal="center" vertical="center" wrapText="1"/>
    </xf>
    <xf numFmtId="0" fontId="13" fillId="2" borderId="0" xfId="0" applyFont="1" applyFill="1" applyBorder="1" applyAlignment="1" applyProtection="1">
      <alignment horizontal="center" vertical="center" wrapText="1"/>
    </xf>
    <xf numFmtId="0" fontId="13" fillId="2" borderId="61" xfId="0" applyFont="1" applyFill="1" applyBorder="1" applyAlignment="1" applyProtection="1">
      <alignment horizontal="center" vertical="center" wrapText="1"/>
    </xf>
    <xf numFmtId="0" fontId="12" fillId="4" borderId="4" xfId="0" applyFont="1" applyFill="1" applyBorder="1" applyAlignment="1" applyProtection="1">
      <alignment horizontal="right" vertical="center" wrapText="1"/>
    </xf>
    <xf numFmtId="0" fontId="12" fillId="4" borderId="5" xfId="0" applyFont="1" applyFill="1" applyBorder="1" applyAlignment="1" applyProtection="1">
      <alignment horizontal="right" vertical="center" wrapText="1"/>
    </xf>
    <xf numFmtId="0" fontId="12" fillId="4" borderId="20" xfId="0" applyFont="1" applyFill="1" applyBorder="1" applyAlignment="1" applyProtection="1">
      <alignment horizontal="right" vertical="center" wrapText="1"/>
    </xf>
    <xf numFmtId="0" fontId="12" fillId="4" borderId="7" xfId="0" applyFont="1" applyFill="1" applyBorder="1" applyAlignment="1" applyProtection="1">
      <alignment horizontal="right" vertical="center" wrapText="1"/>
    </xf>
    <xf numFmtId="0" fontId="3" fillId="2" borderId="59" xfId="0" applyFont="1" applyFill="1" applyBorder="1" applyAlignment="1" applyProtection="1">
      <alignment horizontal="center" vertical="center" wrapText="1"/>
    </xf>
    <xf numFmtId="0" fontId="3" fillId="2" borderId="60" xfId="0" applyFont="1" applyFill="1" applyBorder="1" applyAlignment="1" applyProtection="1">
      <alignment horizontal="center" vertical="center" wrapText="1"/>
    </xf>
    <xf numFmtId="0" fontId="12" fillId="4" borderId="20" xfId="0" applyFont="1" applyFill="1" applyBorder="1" applyAlignment="1" applyProtection="1">
      <alignment horizontal="left" vertical="center" wrapText="1"/>
    </xf>
    <xf numFmtId="0" fontId="12" fillId="4" borderId="7" xfId="0" applyFont="1" applyFill="1" applyBorder="1" applyAlignment="1" applyProtection="1">
      <alignment horizontal="left" vertical="center" wrapText="1"/>
    </xf>
    <xf numFmtId="0" fontId="12" fillId="4" borderId="20" xfId="0" applyFont="1" applyFill="1" applyBorder="1" applyAlignment="1" applyProtection="1">
      <alignment horizontal="left" vertical="center" wrapText="1" readingOrder="1"/>
    </xf>
    <xf numFmtId="0" fontId="12" fillId="4" borderId="7" xfId="0" applyFont="1" applyFill="1" applyBorder="1" applyAlignment="1" applyProtection="1">
      <alignment horizontal="left" vertical="center" wrapText="1" readingOrder="1"/>
    </xf>
    <xf numFmtId="0" fontId="3" fillId="2" borderId="13" xfId="0" applyFont="1" applyFill="1" applyBorder="1" applyAlignment="1">
      <alignment horizontal="center" vertical="center" wrapText="1"/>
    </xf>
    <xf numFmtId="0" fontId="3" fillId="2" borderId="29" xfId="0" applyFont="1" applyFill="1" applyBorder="1" applyAlignment="1">
      <alignment horizontal="center" vertical="center" wrapText="1"/>
    </xf>
    <xf numFmtId="0" fontId="11" fillId="2" borderId="59" xfId="0" applyFont="1" applyFill="1" applyBorder="1" applyAlignment="1">
      <alignment horizontal="center" vertical="center" wrapText="1" readingOrder="2"/>
    </xf>
    <xf numFmtId="0" fontId="11" fillId="2" borderId="39" xfId="0" applyFont="1" applyFill="1" applyBorder="1" applyAlignment="1">
      <alignment horizontal="center" vertical="center" wrapText="1" readingOrder="2"/>
    </xf>
    <xf numFmtId="0" fontId="11" fillId="2" borderId="60" xfId="0" applyFont="1" applyFill="1" applyBorder="1" applyAlignment="1">
      <alignment horizontal="center" vertical="center" wrapText="1" readingOrder="2"/>
    </xf>
    <xf numFmtId="0" fontId="11" fillId="2" borderId="57" xfId="0" applyFont="1" applyFill="1" applyBorder="1" applyAlignment="1">
      <alignment horizontal="center" vertical="center" wrapText="1" readingOrder="2"/>
    </xf>
    <xf numFmtId="0" fontId="11" fillId="2" borderId="58" xfId="0" applyFont="1" applyFill="1" applyBorder="1" applyAlignment="1">
      <alignment horizontal="center" vertical="center" wrapText="1" readingOrder="2"/>
    </xf>
    <xf numFmtId="0" fontId="11" fillId="2" borderId="23" xfId="0" applyFont="1" applyFill="1" applyBorder="1" applyAlignment="1">
      <alignment horizontal="center" vertical="center" wrapText="1" readingOrder="2"/>
    </xf>
    <xf numFmtId="0" fontId="11" fillId="2" borderId="59" xfId="0" applyFont="1" applyFill="1" applyBorder="1" applyAlignment="1">
      <alignment horizontal="center" vertical="center" wrapText="1"/>
    </xf>
    <xf numFmtId="0" fontId="11" fillId="2" borderId="39" xfId="0" applyFont="1" applyFill="1" applyBorder="1" applyAlignment="1">
      <alignment horizontal="center" vertical="center" wrapText="1"/>
    </xf>
    <xf numFmtId="0" fontId="11" fillId="2" borderId="60" xfId="0" applyFont="1" applyFill="1" applyBorder="1" applyAlignment="1">
      <alignment horizontal="center" vertical="center" wrapText="1"/>
    </xf>
    <xf numFmtId="0" fontId="11" fillId="2" borderId="57" xfId="0" applyFont="1" applyFill="1" applyBorder="1" applyAlignment="1">
      <alignment horizontal="center" vertical="center" wrapText="1"/>
    </xf>
    <xf numFmtId="0" fontId="11" fillId="2" borderId="58" xfId="0" applyFont="1" applyFill="1" applyBorder="1" applyAlignment="1">
      <alignment horizontal="center" vertical="center" wrapText="1"/>
    </xf>
    <xf numFmtId="0" fontId="11" fillId="2" borderId="23" xfId="0" applyFont="1" applyFill="1" applyBorder="1" applyAlignment="1">
      <alignment horizontal="center" vertical="center" wrapText="1"/>
    </xf>
    <xf numFmtId="0" fontId="9" fillId="5" borderId="11" xfId="2" applyFill="1" applyBorder="1" applyAlignment="1" applyProtection="1">
      <alignment horizontal="left" vertical="center" wrapText="1"/>
      <protection locked="0"/>
    </xf>
    <xf numFmtId="0" fontId="9" fillId="3" borderId="20" xfId="2" applyFill="1" applyBorder="1" applyAlignment="1" applyProtection="1">
      <alignment horizontal="left" vertical="center" wrapText="1" readingOrder="1"/>
      <protection locked="0"/>
    </xf>
    <xf numFmtId="0" fontId="5" fillId="3" borderId="6" xfId="0" applyFont="1" applyFill="1" applyBorder="1" applyAlignment="1" applyProtection="1">
      <alignment horizontal="right" vertical="center" wrapText="1" readingOrder="2"/>
      <protection locked="0"/>
    </xf>
    <xf numFmtId="0" fontId="5" fillId="3" borderId="20" xfId="0" applyFont="1" applyFill="1" applyBorder="1" applyAlignment="1" applyProtection="1">
      <alignment horizontal="right" vertical="center" wrapText="1" readingOrder="2"/>
      <protection locked="0"/>
    </xf>
    <xf numFmtId="0" fontId="5" fillId="3" borderId="17" xfId="0" applyFont="1" applyFill="1" applyBorder="1" applyAlignment="1" applyProtection="1">
      <alignment horizontal="right" vertical="center" wrapText="1" readingOrder="2"/>
      <protection locked="0"/>
    </xf>
    <xf numFmtId="0" fontId="5" fillId="3" borderId="18" xfId="0" applyFont="1" applyFill="1" applyBorder="1" applyAlignment="1" applyProtection="1">
      <alignment horizontal="right" vertical="center" wrapText="1" readingOrder="2"/>
      <protection locked="0"/>
    </xf>
  </cellXfs>
  <cellStyles count="3">
    <cellStyle name="Hyperlink" xfId="2" builtinId="8"/>
    <cellStyle name="Normal" xfId="0" builtinId="0"/>
    <cellStyle name="Normal_גיליון6" xfId="1"/>
  </cellStyles>
  <dxfs count="0"/>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dvirtwina@gmail.com" TargetMode="External"/><Relationship Id="rId1" Type="http://schemas.openxmlformats.org/officeDocument/2006/relationships/hyperlink" Target="https://www.linkedin.com/in/dvir-twina-17a677127/"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5"/>
  <dimension ref="A2:O32"/>
  <sheetViews>
    <sheetView showGridLines="0" rightToLeft="1" topLeftCell="A7" workbookViewId="0"/>
  </sheetViews>
  <sheetFormatPr defaultRowHeight="12.75" x14ac:dyDescent="0.2"/>
  <sheetData>
    <row r="2" spans="1:15" ht="23.25" x14ac:dyDescent="0.35">
      <c r="A2" s="127" t="s">
        <v>119</v>
      </c>
      <c r="B2" s="127"/>
      <c r="C2" s="127"/>
      <c r="D2" s="127"/>
    </row>
    <row r="3" spans="1:15" x14ac:dyDescent="0.2">
      <c r="A3" s="3"/>
    </row>
    <row r="4" spans="1:15" x14ac:dyDescent="0.2">
      <c r="A4" s="3"/>
    </row>
    <row r="5" spans="1:15" s="5" customFormat="1" ht="18" x14ac:dyDescent="0.25">
      <c r="A5" s="125" t="s">
        <v>205</v>
      </c>
      <c r="B5" s="125"/>
      <c r="C5" s="125"/>
      <c r="D5" s="125"/>
      <c r="E5" s="125"/>
      <c r="F5" s="125"/>
      <c r="G5" s="125"/>
      <c r="H5" s="125"/>
      <c r="I5" s="125"/>
      <c r="J5" s="125"/>
      <c r="K5" s="125"/>
      <c r="L5" s="125"/>
      <c r="M5" s="125"/>
    </row>
    <row r="6" spans="1:15" s="5" customFormat="1" ht="18" x14ac:dyDescent="0.25">
      <c r="A6" s="4"/>
      <c r="B6" s="4"/>
      <c r="C6" s="4"/>
      <c r="D6" s="4"/>
      <c r="E6" s="4"/>
      <c r="F6" s="4"/>
      <c r="G6" s="4"/>
    </row>
    <row r="7" spans="1:15" s="5" customFormat="1" ht="18" x14ac:dyDescent="0.25">
      <c r="A7" s="129" t="s">
        <v>135</v>
      </c>
      <c r="B7" s="129"/>
      <c r="C7" s="129"/>
      <c r="D7" s="129"/>
      <c r="E7" s="129"/>
      <c r="F7" s="129"/>
      <c r="G7" s="129"/>
      <c r="H7" s="129"/>
      <c r="I7" s="129"/>
      <c r="J7" s="129"/>
      <c r="K7" s="129"/>
      <c r="L7" s="129"/>
      <c r="M7" s="129"/>
    </row>
    <row r="8" spans="1:15" s="5" customFormat="1" ht="18" x14ac:dyDescent="0.25">
      <c r="A8" s="4"/>
      <c r="B8" s="4"/>
      <c r="C8" s="4"/>
      <c r="D8" s="4"/>
      <c r="E8" s="4"/>
      <c r="F8" s="4"/>
      <c r="G8" s="4"/>
      <c r="H8" s="4"/>
      <c r="I8" s="4"/>
      <c r="J8" s="4"/>
    </row>
    <row r="9" spans="1:15" s="5" customFormat="1" ht="36" customHeight="1" x14ac:dyDescent="0.25">
      <c r="A9" s="126" t="s">
        <v>128</v>
      </c>
      <c r="B9" s="126"/>
      <c r="C9" s="126"/>
      <c r="D9" s="126"/>
      <c r="E9" s="126"/>
      <c r="F9" s="126"/>
      <c r="G9" s="126"/>
      <c r="H9" s="126"/>
      <c r="I9" s="126"/>
      <c r="J9" s="126"/>
      <c r="K9" s="126"/>
      <c r="L9" s="126"/>
      <c r="M9" s="126"/>
      <c r="N9" s="126"/>
      <c r="O9" s="126"/>
    </row>
    <row r="10" spans="1:15" s="5" customFormat="1" ht="19.5" customHeight="1" x14ac:dyDescent="0.25">
      <c r="A10" s="6"/>
      <c r="B10" s="6"/>
      <c r="C10" s="6"/>
      <c r="D10" s="6"/>
      <c r="E10" s="6"/>
      <c r="F10" s="6"/>
      <c r="G10" s="6"/>
      <c r="H10" s="6"/>
      <c r="I10" s="6"/>
      <c r="J10" s="6"/>
      <c r="K10" s="6"/>
      <c r="L10" s="6"/>
      <c r="M10" s="6"/>
      <c r="N10" s="6"/>
      <c r="O10" s="6"/>
    </row>
    <row r="11" spans="1:15" s="5" customFormat="1" ht="64.5" customHeight="1" x14ac:dyDescent="0.25">
      <c r="A11" s="128" t="s">
        <v>154</v>
      </c>
      <c r="B11" s="128"/>
      <c r="C11" s="128"/>
      <c r="D11" s="128"/>
      <c r="E11" s="128"/>
      <c r="F11" s="128"/>
      <c r="G11" s="128"/>
      <c r="H11" s="128"/>
      <c r="I11" s="128"/>
      <c r="J11" s="128"/>
      <c r="K11" s="128"/>
      <c r="L11" s="128"/>
      <c r="M11" s="128"/>
      <c r="N11" s="128"/>
    </row>
    <row r="12" spans="1:15" s="5" customFormat="1" ht="18" x14ac:dyDescent="0.25">
      <c r="A12" s="125" t="s">
        <v>180</v>
      </c>
      <c r="B12" s="125"/>
      <c r="C12" s="125"/>
      <c r="D12" s="125"/>
      <c r="E12" s="125"/>
      <c r="F12" s="125"/>
      <c r="G12" s="125"/>
      <c r="H12" s="125"/>
      <c r="I12" s="125"/>
      <c r="J12" s="125"/>
      <c r="K12" s="125"/>
      <c r="L12" s="125"/>
      <c r="M12" s="125"/>
    </row>
    <row r="13" spans="1:15" s="5" customFormat="1" ht="18" x14ac:dyDescent="0.25">
      <c r="A13" s="4"/>
      <c r="B13" s="4"/>
      <c r="C13" s="4"/>
      <c r="D13" s="4"/>
      <c r="E13" s="4"/>
      <c r="F13" s="4"/>
      <c r="G13" s="4"/>
      <c r="H13" s="4"/>
      <c r="I13" s="4"/>
      <c r="J13" s="4"/>
      <c r="K13" s="4"/>
      <c r="L13" s="4"/>
      <c r="M13" s="4"/>
    </row>
    <row r="14" spans="1:15" s="5" customFormat="1" ht="18" x14ac:dyDescent="0.25">
      <c r="A14" s="124" t="s">
        <v>155</v>
      </c>
      <c r="B14" s="124"/>
      <c r="C14" s="124"/>
      <c r="D14" s="124"/>
      <c r="E14" s="124"/>
      <c r="F14" s="124"/>
      <c r="G14" s="124"/>
      <c r="H14" s="124"/>
      <c r="I14" s="124"/>
      <c r="J14" s="124"/>
      <c r="K14" s="124"/>
      <c r="L14" s="7"/>
    </row>
    <row r="15" spans="1:15" ht="18" x14ac:dyDescent="0.25">
      <c r="A15" s="124" t="s">
        <v>204</v>
      </c>
      <c r="B15" s="124"/>
      <c r="C15" s="124"/>
      <c r="D15" s="124"/>
      <c r="E15" s="124"/>
      <c r="F15" s="124"/>
      <c r="G15" s="124"/>
      <c r="H15" s="124"/>
      <c r="I15" s="124"/>
      <c r="J15" s="124"/>
      <c r="K15" s="124"/>
    </row>
    <row r="16" spans="1:15" x14ac:dyDescent="0.2">
      <c r="A16" s="2"/>
      <c r="B16" s="2"/>
      <c r="C16" s="2"/>
    </row>
    <row r="17" spans="1:3" x14ac:dyDescent="0.2">
      <c r="A17" s="2"/>
      <c r="B17" s="2"/>
      <c r="C17" s="2"/>
    </row>
    <row r="18" spans="1:3" x14ac:dyDescent="0.2">
      <c r="A18" s="2"/>
      <c r="B18" s="2"/>
      <c r="C18" s="2"/>
    </row>
    <row r="19" spans="1:3" x14ac:dyDescent="0.2">
      <c r="A19" s="2"/>
      <c r="B19" s="2"/>
      <c r="C19" s="2"/>
    </row>
    <row r="20" spans="1:3" x14ac:dyDescent="0.2">
      <c r="A20" s="2"/>
      <c r="B20" s="2"/>
      <c r="C20" s="2"/>
    </row>
    <row r="21" spans="1:3" x14ac:dyDescent="0.2">
      <c r="A21" s="2"/>
      <c r="B21" s="2"/>
      <c r="C21" s="2"/>
    </row>
    <row r="22" spans="1:3" x14ac:dyDescent="0.2">
      <c r="A22" s="2"/>
      <c r="B22" s="2"/>
      <c r="C22" s="2"/>
    </row>
    <row r="23" spans="1:3" x14ac:dyDescent="0.2">
      <c r="A23" s="2"/>
      <c r="B23" s="2"/>
      <c r="C23" s="2"/>
    </row>
    <row r="24" spans="1:3" x14ac:dyDescent="0.2">
      <c r="A24" s="2"/>
      <c r="B24" s="2"/>
      <c r="C24" s="2"/>
    </row>
    <row r="25" spans="1:3" x14ac:dyDescent="0.2">
      <c r="A25" s="2"/>
      <c r="B25" s="2"/>
      <c r="C25" s="2"/>
    </row>
    <row r="26" spans="1:3" x14ac:dyDescent="0.2">
      <c r="A26" s="2"/>
      <c r="B26" s="2"/>
      <c r="C26" s="2"/>
    </row>
    <row r="27" spans="1:3" x14ac:dyDescent="0.2">
      <c r="A27" s="2"/>
      <c r="B27" s="2"/>
      <c r="C27" s="2"/>
    </row>
    <row r="28" spans="1:3" x14ac:dyDescent="0.2">
      <c r="A28" s="2"/>
      <c r="B28" s="2"/>
      <c r="C28" s="2"/>
    </row>
    <row r="29" spans="1:3" x14ac:dyDescent="0.2">
      <c r="A29" s="2"/>
      <c r="B29" s="2"/>
      <c r="C29" s="2"/>
    </row>
    <row r="30" spans="1:3" x14ac:dyDescent="0.2">
      <c r="A30" s="2"/>
      <c r="B30" s="2"/>
      <c r="C30" s="2"/>
    </row>
    <row r="31" spans="1:3" x14ac:dyDescent="0.2">
      <c r="A31" s="2"/>
      <c r="B31" s="2"/>
      <c r="C31" s="2"/>
    </row>
    <row r="32" spans="1:3" x14ac:dyDescent="0.2">
      <c r="A32" s="2"/>
      <c r="B32" s="2"/>
      <c r="C32" s="2"/>
    </row>
  </sheetData>
  <sheetProtection password="97D3" sheet="1" objects="1" scenarios="1" selectLockedCells="1" selectUnlockedCells="1"/>
  <mergeCells count="8">
    <mergeCell ref="A15:K15"/>
    <mergeCell ref="A5:M5"/>
    <mergeCell ref="A9:O9"/>
    <mergeCell ref="A2:D2"/>
    <mergeCell ref="A14:K14"/>
    <mergeCell ref="A11:N11"/>
    <mergeCell ref="A12:M12"/>
    <mergeCell ref="A7:M7"/>
  </mergeCells>
  <phoneticPr fontId="1"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2">
    <pageSetUpPr fitToPage="1"/>
  </sheetPr>
  <dimension ref="B1:N146"/>
  <sheetViews>
    <sheetView rightToLeft="1" tabSelected="1" zoomScaleNormal="100" workbookViewId="0">
      <selection activeCell="C50" sqref="C50"/>
    </sheetView>
  </sheetViews>
  <sheetFormatPr defaultRowHeight="12.75" x14ac:dyDescent="0.2"/>
  <cols>
    <col min="1" max="1" width="2.42578125" style="38" customWidth="1"/>
    <col min="2" max="2" width="6.5703125" style="59" customWidth="1"/>
    <col min="3" max="3" width="50.85546875" style="38" customWidth="1"/>
    <col min="4" max="4" width="18" style="38" customWidth="1"/>
    <col min="5" max="7" width="10.7109375" style="38" customWidth="1"/>
    <col min="8" max="8" width="19.42578125" style="38" customWidth="1"/>
    <col min="9" max="13" width="10.7109375" style="38" customWidth="1"/>
    <col min="14" max="14" width="9.140625" style="38"/>
    <col min="15" max="15" width="34.7109375" style="38" customWidth="1"/>
    <col min="16" max="16384" width="9.140625" style="38"/>
  </cols>
  <sheetData>
    <row r="1" spans="2:13" ht="13.5" thickBot="1" x14ac:dyDescent="0.25">
      <c r="B1" s="172"/>
      <c r="C1" s="172"/>
      <c r="D1" s="39"/>
    </row>
    <row r="2" spans="2:13" ht="12.75" customHeight="1" x14ac:dyDescent="0.2">
      <c r="B2" s="135" t="s">
        <v>94</v>
      </c>
      <c r="C2" s="136"/>
      <c r="D2" s="136"/>
      <c r="E2" s="136"/>
      <c r="F2" s="136"/>
      <c r="G2" s="136"/>
      <c r="H2" s="136"/>
      <c r="I2" s="136"/>
      <c r="J2" s="136"/>
      <c r="K2" s="136"/>
      <c r="L2" s="136"/>
      <c r="M2" s="137"/>
    </row>
    <row r="3" spans="2:13" x14ac:dyDescent="0.2">
      <c r="B3" s="138"/>
      <c r="C3" s="139"/>
      <c r="D3" s="139"/>
      <c r="E3" s="139"/>
      <c r="F3" s="139"/>
      <c r="G3" s="139"/>
      <c r="H3" s="139"/>
      <c r="I3" s="139"/>
      <c r="J3" s="139"/>
      <c r="K3" s="139"/>
      <c r="L3" s="139"/>
      <c r="M3" s="140"/>
    </row>
    <row r="4" spans="2:13" ht="13.5" thickBot="1" x14ac:dyDescent="0.25">
      <c r="B4" s="165"/>
      <c r="C4" s="166"/>
      <c r="D4" s="166"/>
      <c r="E4" s="166"/>
      <c r="F4" s="166"/>
      <c r="G4" s="166"/>
      <c r="H4" s="166"/>
      <c r="I4" s="166"/>
      <c r="J4" s="166"/>
      <c r="K4" s="166"/>
      <c r="L4" s="166"/>
      <c r="M4" s="167"/>
    </row>
    <row r="5" spans="2:13" ht="13.5" thickBot="1" x14ac:dyDescent="0.25"/>
    <row r="6" spans="2:13" ht="16.5" thickBot="1" x14ac:dyDescent="0.25">
      <c r="B6" s="185" t="s">
        <v>106</v>
      </c>
      <c r="C6" s="142"/>
      <c r="D6" s="39"/>
      <c r="E6" s="39"/>
      <c r="F6" s="39"/>
    </row>
    <row r="7" spans="2:13" x14ac:dyDescent="0.2">
      <c r="B7" s="60"/>
      <c r="C7" s="61" t="s">
        <v>76</v>
      </c>
      <c r="E7" s="39"/>
      <c r="F7" s="39"/>
    </row>
    <row r="8" spans="2:13" x14ac:dyDescent="0.2">
      <c r="B8" s="62"/>
      <c r="C8" s="63" t="s">
        <v>77</v>
      </c>
    </row>
    <row r="9" spans="2:13" ht="13.5" thickBot="1" x14ac:dyDescent="0.25">
      <c r="B9" s="64"/>
      <c r="C9" s="65" t="s">
        <v>81</v>
      </c>
    </row>
    <row r="10" spans="2:13" ht="13.5" thickBot="1" x14ac:dyDescent="0.25"/>
    <row r="11" spans="2:13" ht="16.5" thickBot="1" x14ac:dyDescent="0.25">
      <c r="B11" s="66" t="s">
        <v>33</v>
      </c>
      <c r="C11" s="141" t="s">
        <v>13</v>
      </c>
      <c r="D11" s="141"/>
      <c r="E11" s="141"/>
      <c r="F11" s="141"/>
      <c r="G11" s="141"/>
      <c r="H11" s="141"/>
      <c r="I11" s="141"/>
      <c r="J11" s="141"/>
      <c r="K11" s="141"/>
      <c r="L11" s="141"/>
      <c r="M11" s="142"/>
    </row>
    <row r="12" spans="2:13" ht="15.75" x14ac:dyDescent="0.2">
      <c r="B12" s="67">
        <v>1</v>
      </c>
      <c r="C12" s="68" t="s">
        <v>100</v>
      </c>
      <c r="D12" s="69">
        <v>43303</v>
      </c>
      <c r="E12" s="10"/>
      <c r="F12" s="10"/>
      <c r="G12" s="10"/>
      <c r="H12" s="10"/>
      <c r="I12" s="10"/>
      <c r="J12" s="10"/>
      <c r="K12" s="10"/>
      <c r="L12" s="10"/>
      <c r="M12" s="11"/>
    </row>
    <row r="13" spans="2:13" ht="15.75" x14ac:dyDescent="0.2">
      <c r="B13" s="70">
        <v>2</v>
      </c>
      <c r="C13" s="71" t="s">
        <v>105</v>
      </c>
      <c r="D13" s="120" t="s">
        <v>206</v>
      </c>
      <c r="E13" s="12"/>
      <c r="F13" s="12"/>
      <c r="G13" s="12"/>
      <c r="H13" s="12"/>
      <c r="I13" s="12"/>
      <c r="J13" s="12"/>
      <c r="K13" s="12"/>
      <c r="L13" s="12"/>
      <c r="M13" s="13"/>
    </row>
    <row r="14" spans="2:13" ht="15.75" x14ac:dyDescent="0.2">
      <c r="B14" s="70">
        <v>3</v>
      </c>
      <c r="C14" s="14" t="s">
        <v>0</v>
      </c>
      <c r="D14" s="154" t="s">
        <v>207</v>
      </c>
      <c r="E14" s="154"/>
      <c r="F14" s="154"/>
      <c r="G14" s="154"/>
      <c r="H14" s="154"/>
      <c r="I14" s="154"/>
      <c r="J14" s="154"/>
      <c r="K14" s="154"/>
      <c r="L14" s="154"/>
      <c r="M14" s="162"/>
    </row>
    <row r="15" spans="2:13" ht="15.75" x14ac:dyDescent="0.2">
      <c r="B15" s="70">
        <v>4</v>
      </c>
      <c r="C15" s="14" t="s">
        <v>1</v>
      </c>
      <c r="D15" s="163" t="s">
        <v>208</v>
      </c>
      <c r="E15" s="163"/>
      <c r="F15" s="163"/>
      <c r="G15" s="163"/>
      <c r="H15" s="163"/>
      <c r="I15" s="163"/>
      <c r="J15" s="163"/>
      <c r="K15" s="163"/>
      <c r="L15" s="163"/>
      <c r="M15" s="164"/>
    </row>
    <row r="16" spans="2:13" ht="27" customHeight="1" x14ac:dyDescent="0.2">
      <c r="B16" s="70">
        <v>5</v>
      </c>
      <c r="C16" s="14" t="s">
        <v>107</v>
      </c>
      <c r="D16" s="148" t="s">
        <v>209</v>
      </c>
      <c r="E16" s="148"/>
      <c r="F16" s="148"/>
      <c r="G16" s="148"/>
      <c r="H16" s="148"/>
      <c r="I16" s="148"/>
      <c r="J16" s="148"/>
      <c r="K16" s="148"/>
      <c r="L16" s="148"/>
      <c r="M16" s="149"/>
    </row>
    <row r="17" spans="2:13" ht="36.75" customHeight="1" x14ac:dyDescent="0.2">
      <c r="B17" s="70">
        <v>6</v>
      </c>
      <c r="C17" s="14" t="s">
        <v>108</v>
      </c>
      <c r="D17" s="163" t="s">
        <v>248</v>
      </c>
      <c r="E17" s="163"/>
      <c r="F17" s="163"/>
      <c r="G17" s="163"/>
      <c r="H17" s="163"/>
      <c r="I17" s="163"/>
      <c r="J17" s="163"/>
      <c r="K17" s="163"/>
      <c r="L17" s="163"/>
      <c r="M17" s="164"/>
    </row>
    <row r="18" spans="2:13" ht="15.75" x14ac:dyDescent="0.2">
      <c r="B18" s="70">
        <v>7</v>
      </c>
      <c r="C18" s="14" t="s">
        <v>115</v>
      </c>
      <c r="D18" s="72">
        <v>1</v>
      </c>
      <c r="E18" s="143"/>
      <c r="F18" s="143"/>
      <c r="G18" s="143"/>
      <c r="H18" s="143"/>
      <c r="I18" s="143"/>
      <c r="J18" s="143"/>
      <c r="K18" s="143"/>
      <c r="L18" s="143"/>
      <c r="M18" s="144"/>
    </row>
    <row r="19" spans="2:13" ht="15.75" x14ac:dyDescent="0.2">
      <c r="B19" s="70">
        <v>8</v>
      </c>
      <c r="C19" s="14" t="s">
        <v>75</v>
      </c>
      <c r="D19" s="145" t="s">
        <v>249</v>
      </c>
      <c r="E19" s="146"/>
      <c r="F19" s="146"/>
      <c r="G19" s="146"/>
      <c r="H19" s="146"/>
      <c r="I19" s="146"/>
      <c r="J19" s="146"/>
      <c r="K19" s="146"/>
      <c r="L19" s="146"/>
      <c r="M19" s="147"/>
    </row>
    <row r="20" spans="2:13" ht="25.5" x14ac:dyDescent="0.2">
      <c r="B20" s="70">
        <v>9</v>
      </c>
      <c r="C20" s="14" t="s">
        <v>14</v>
      </c>
      <c r="D20" s="18" t="s">
        <v>211</v>
      </c>
      <c r="E20" s="21" t="s">
        <v>216</v>
      </c>
      <c r="F20" s="21" t="s">
        <v>213</v>
      </c>
      <c r="G20" s="21" t="s">
        <v>212</v>
      </c>
      <c r="H20" s="21" t="s">
        <v>210</v>
      </c>
      <c r="I20" s="21" t="s">
        <v>214</v>
      </c>
      <c r="J20" s="21" t="s">
        <v>215</v>
      </c>
      <c r="K20" s="21" t="s">
        <v>224</v>
      </c>
      <c r="L20" s="21" t="s">
        <v>225</v>
      </c>
      <c r="M20" s="22" t="s">
        <v>226</v>
      </c>
    </row>
    <row r="21" spans="2:13" ht="25.5" x14ac:dyDescent="0.2">
      <c r="B21" s="70">
        <v>10</v>
      </c>
      <c r="C21" s="14" t="s">
        <v>15</v>
      </c>
      <c r="D21" s="19" t="s">
        <v>217</v>
      </c>
      <c r="E21" s="23" t="s">
        <v>218</v>
      </c>
      <c r="F21" s="23" t="s">
        <v>219</v>
      </c>
      <c r="G21" s="23" t="s">
        <v>220</v>
      </c>
      <c r="H21" s="23" t="s">
        <v>221</v>
      </c>
      <c r="I21" s="23" t="s">
        <v>222</v>
      </c>
      <c r="J21" s="23" t="s">
        <v>223</v>
      </c>
      <c r="K21" s="23" t="s">
        <v>229</v>
      </c>
      <c r="L21" s="23" t="s">
        <v>228</v>
      </c>
      <c r="M21" s="24" t="s">
        <v>227</v>
      </c>
    </row>
    <row r="22" spans="2:13" ht="16.5" thickBot="1" x14ac:dyDescent="0.25">
      <c r="B22" s="73">
        <v>11</v>
      </c>
      <c r="C22" s="14" t="s">
        <v>4</v>
      </c>
      <c r="D22" s="173"/>
      <c r="E22" s="174"/>
      <c r="F22" s="174"/>
      <c r="G22" s="174"/>
      <c r="H22" s="174"/>
      <c r="I22" s="174"/>
      <c r="J22" s="174"/>
      <c r="K22" s="174"/>
      <c r="L22" s="174"/>
      <c r="M22" s="175"/>
    </row>
    <row r="23" spans="2:13" ht="13.5" thickBot="1" x14ac:dyDescent="0.25">
      <c r="B23" s="186"/>
      <c r="C23" s="187"/>
      <c r="D23" s="187"/>
      <c r="E23" s="187"/>
      <c r="F23" s="187"/>
      <c r="G23" s="187"/>
      <c r="H23" s="187"/>
      <c r="I23" s="187"/>
      <c r="J23" s="187"/>
      <c r="K23" s="187"/>
      <c r="L23" s="187"/>
      <c r="M23" s="188"/>
    </row>
    <row r="24" spans="2:13" ht="15.75" x14ac:dyDescent="0.2">
      <c r="B24" s="74">
        <v>12</v>
      </c>
      <c r="C24" s="14" t="s">
        <v>139</v>
      </c>
      <c r="D24" s="75" t="s">
        <v>12</v>
      </c>
      <c r="E24" s="156"/>
      <c r="F24" s="157"/>
      <c r="G24" s="157"/>
      <c r="H24" s="157"/>
      <c r="I24" s="157"/>
      <c r="J24" s="157"/>
      <c r="K24" s="157"/>
      <c r="L24" s="157"/>
      <c r="M24" s="158"/>
    </row>
    <row r="25" spans="2:13" ht="15.75" x14ac:dyDescent="0.2">
      <c r="B25" s="67">
        <v>13</v>
      </c>
      <c r="C25" s="14" t="s">
        <v>146</v>
      </c>
      <c r="D25" s="121" t="s">
        <v>150</v>
      </c>
      <c r="E25" s="159"/>
      <c r="F25" s="160"/>
      <c r="G25" s="160"/>
      <c r="H25" s="160"/>
      <c r="I25" s="160"/>
      <c r="J25" s="160"/>
      <c r="K25" s="160"/>
      <c r="L25" s="160"/>
      <c r="M25" s="161"/>
    </row>
    <row r="26" spans="2:13" ht="27" customHeight="1" thickBot="1" x14ac:dyDescent="0.25">
      <c r="B26" s="73">
        <v>14</v>
      </c>
      <c r="C26" s="14" t="s">
        <v>156</v>
      </c>
      <c r="D26" s="121" t="s">
        <v>145</v>
      </c>
      <c r="E26" s="153"/>
      <c r="F26" s="154"/>
      <c r="G26" s="154"/>
      <c r="H26" s="154"/>
      <c r="I26" s="154"/>
      <c r="J26" s="154"/>
      <c r="K26" s="154"/>
      <c r="L26" s="154"/>
      <c r="M26" s="155"/>
    </row>
    <row r="27" spans="2:13" ht="13.5" thickBot="1" x14ac:dyDescent="0.25">
      <c r="B27" s="199"/>
      <c r="C27" s="200"/>
      <c r="D27" s="200"/>
      <c r="E27" s="201"/>
      <c r="F27" s="201"/>
      <c r="G27" s="201"/>
      <c r="H27" s="201"/>
      <c r="I27" s="201"/>
      <c r="J27" s="201"/>
      <c r="K27" s="201"/>
      <c r="L27" s="201"/>
      <c r="M27" s="202"/>
    </row>
    <row r="28" spans="2:13" ht="32.25" customHeight="1" x14ac:dyDescent="0.2">
      <c r="B28" s="74">
        <v>15</v>
      </c>
      <c r="C28" s="14" t="s">
        <v>181</v>
      </c>
      <c r="D28" s="195"/>
      <c r="E28" s="196"/>
      <c r="F28" s="196"/>
      <c r="G28" s="196"/>
      <c r="H28" s="196"/>
      <c r="I28" s="197"/>
      <c r="J28" s="197"/>
      <c r="K28" s="197"/>
      <c r="L28" s="197"/>
      <c r="M28" s="198"/>
    </row>
    <row r="29" spans="2:13" ht="16.5" thickBot="1" x14ac:dyDescent="0.25">
      <c r="B29" s="73">
        <v>16</v>
      </c>
      <c r="C29" s="76"/>
      <c r="D29" s="150"/>
      <c r="E29" s="151"/>
      <c r="F29" s="151"/>
      <c r="G29" s="151"/>
      <c r="H29" s="151"/>
      <c r="I29" s="151"/>
      <c r="J29" s="151"/>
      <c r="K29" s="151"/>
      <c r="L29" s="151"/>
      <c r="M29" s="152"/>
    </row>
    <row r="30" spans="2:13" ht="13.5" thickBot="1" x14ac:dyDescent="0.25">
      <c r="B30" s="199"/>
      <c r="C30" s="200"/>
      <c r="D30" s="213"/>
      <c r="E30" s="213"/>
      <c r="F30" s="213"/>
      <c r="G30" s="213"/>
      <c r="H30" s="213"/>
      <c r="I30" s="213"/>
      <c r="J30" s="213"/>
      <c r="K30" s="213"/>
      <c r="L30" s="213"/>
      <c r="M30" s="214"/>
    </row>
    <row r="31" spans="2:13" ht="15.75" x14ac:dyDescent="0.2">
      <c r="B31" s="74">
        <v>17</v>
      </c>
      <c r="C31" s="71" t="s">
        <v>137</v>
      </c>
      <c r="D31" s="130" t="s">
        <v>250</v>
      </c>
      <c r="E31" s="208"/>
      <c r="F31" s="208"/>
      <c r="G31" s="208"/>
      <c r="H31" s="208"/>
      <c r="I31" s="208"/>
      <c r="J31" s="208"/>
      <c r="K31" s="208"/>
      <c r="L31" s="208"/>
      <c r="M31" s="209"/>
    </row>
    <row r="32" spans="2:13" ht="16.5" thickBot="1" x14ac:dyDescent="0.25">
      <c r="B32" s="73">
        <v>18</v>
      </c>
      <c r="C32" s="71" t="s">
        <v>136</v>
      </c>
      <c r="D32" s="205" t="s">
        <v>230</v>
      </c>
      <c r="E32" s="206"/>
      <c r="F32" s="206"/>
      <c r="G32" s="206"/>
      <c r="H32" s="206"/>
      <c r="I32" s="206"/>
      <c r="J32" s="206"/>
      <c r="K32" s="206"/>
      <c r="L32" s="206"/>
      <c r="M32" s="207"/>
    </row>
    <row r="33" spans="2:14" ht="16.5" thickBot="1" x14ac:dyDescent="0.25">
      <c r="B33" s="73">
        <v>19</v>
      </c>
      <c r="C33" s="71" t="s">
        <v>138</v>
      </c>
      <c r="D33" s="210" t="s">
        <v>231</v>
      </c>
      <c r="E33" s="211"/>
      <c r="F33" s="211"/>
      <c r="G33" s="211"/>
      <c r="H33" s="211"/>
      <c r="I33" s="211"/>
      <c r="J33" s="211"/>
      <c r="K33" s="211"/>
      <c r="L33" s="211"/>
      <c r="M33" s="212"/>
    </row>
    <row r="34" spans="2:14" ht="13.5" thickBot="1" x14ac:dyDescent="0.25">
      <c r="C34" s="77"/>
    </row>
    <row r="35" spans="2:14" ht="16.5" thickBot="1" x14ac:dyDescent="0.25">
      <c r="B35" s="66" t="s">
        <v>33</v>
      </c>
      <c r="C35" s="78" t="s">
        <v>22</v>
      </c>
      <c r="D35" s="203" t="s">
        <v>17</v>
      </c>
      <c r="E35" s="204"/>
      <c r="F35" s="203" t="s">
        <v>18</v>
      </c>
      <c r="G35" s="204"/>
      <c r="H35" s="203" t="s">
        <v>19</v>
      </c>
      <c r="I35" s="204"/>
      <c r="J35" s="203" t="s">
        <v>20</v>
      </c>
      <c r="K35" s="204"/>
      <c r="L35" s="203" t="s">
        <v>21</v>
      </c>
      <c r="M35" s="142"/>
    </row>
    <row r="36" spans="2:14" ht="15.75" x14ac:dyDescent="0.2">
      <c r="B36" s="74">
        <v>1</v>
      </c>
      <c r="C36" s="68" t="s">
        <v>74</v>
      </c>
      <c r="D36" s="130">
        <v>305644320</v>
      </c>
      <c r="E36" s="131"/>
      <c r="F36" s="192"/>
      <c r="G36" s="193"/>
      <c r="H36" s="192"/>
      <c r="I36" s="193"/>
      <c r="J36" s="192"/>
      <c r="K36" s="193"/>
      <c r="L36" s="192"/>
      <c r="M36" s="194"/>
    </row>
    <row r="37" spans="2:14" ht="15.75" x14ac:dyDescent="0.2">
      <c r="B37" s="70">
        <v>2</v>
      </c>
      <c r="C37" s="14" t="s">
        <v>2</v>
      </c>
      <c r="D37" s="215" t="s">
        <v>232</v>
      </c>
      <c r="E37" s="134"/>
      <c r="F37" s="176"/>
      <c r="G37" s="132"/>
      <c r="H37" s="132"/>
      <c r="I37" s="132"/>
      <c r="J37" s="132"/>
      <c r="K37" s="132"/>
      <c r="L37" s="132"/>
      <c r="M37" s="133"/>
    </row>
    <row r="38" spans="2:14" ht="15.75" x14ac:dyDescent="0.2">
      <c r="B38" s="70">
        <v>3</v>
      </c>
      <c r="C38" s="14" t="s">
        <v>3</v>
      </c>
      <c r="D38" s="134" t="s">
        <v>233</v>
      </c>
      <c r="E38" s="134"/>
      <c r="F38" s="132"/>
      <c r="G38" s="132"/>
      <c r="H38" s="132"/>
      <c r="I38" s="132"/>
      <c r="J38" s="132"/>
      <c r="K38" s="132"/>
      <c r="L38" s="132"/>
      <c r="M38" s="133"/>
    </row>
    <row r="39" spans="2:14" ht="15.75" x14ac:dyDescent="0.2">
      <c r="B39" s="70">
        <v>4</v>
      </c>
      <c r="C39" s="14" t="s">
        <v>78</v>
      </c>
      <c r="D39" s="255" t="s">
        <v>234</v>
      </c>
      <c r="E39" s="171"/>
      <c r="F39" s="171"/>
      <c r="G39" s="171"/>
      <c r="H39" s="171"/>
      <c r="I39" s="171"/>
      <c r="J39" s="171"/>
      <c r="K39" s="171"/>
      <c r="L39" s="171"/>
      <c r="M39" s="179"/>
    </row>
    <row r="40" spans="2:14" ht="15.75" x14ac:dyDescent="0.2">
      <c r="B40" s="70">
        <v>5</v>
      </c>
      <c r="C40" s="14" t="s">
        <v>24</v>
      </c>
      <c r="D40" s="180" t="s">
        <v>235</v>
      </c>
      <c r="E40" s="181"/>
      <c r="F40" s="168"/>
      <c r="G40" s="169"/>
      <c r="H40" s="168"/>
      <c r="I40" s="169"/>
      <c r="J40" s="168"/>
      <c r="K40" s="169"/>
      <c r="L40" s="168"/>
      <c r="M40" s="170"/>
    </row>
    <row r="41" spans="2:14" ht="25.5" x14ac:dyDescent="0.2">
      <c r="B41" s="70">
        <v>6</v>
      </c>
      <c r="C41" s="14" t="s">
        <v>131</v>
      </c>
      <c r="D41" s="256" t="s">
        <v>236</v>
      </c>
      <c r="E41" s="181"/>
      <c r="F41" s="168"/>
      <c r="G41" s="169"/>
      <c r="H41" s="168"/>
      <c r="I41" s="169"/>
      <c r="J41" s="168"/>
      <c r="K41" s="169"/>
      <c r="L41" s="168"/>
      <c r="M41" s="170"/>
    </row>
    <row r="42" spans="2:14" ht="15.75" x14ac:dyDescent="0.2">
      <c r="B42" s="70">
        <v>7</v>
      </c>
      <c r="C42" s="14" t="s">
        <v>133</v>
      </c>
      <c r="D42" s="182" t="s">
        <v>237</v>
      </c>
      <c r="E42" s="183"/>
      <c r="F42" s="177"/>
      <c r="G42" s="184"/>
      <c r="H42" s="177"/>
      <c r="I42" s="184"/>
      <c r="J42" s="177"/>
      <c r="K42" s="184"/>
      <c r="L42" s="177"/>
      <c r="M42" s="178"/>
      <c r="N42" s="79"/>
    </row>
    <row r="43" spans="2:14" ht="15.75" x14ac:dyDescent="0.2">
      <c r="B43" s="70">
        <v>8</v>
      </c>
      <c r="C43" s="14" t="s">
        <v>25</v>
      </c>
      <c r="D43" s="134" t="s">
        <v>238</v>
      </c>
      <c r="E43" s="134"/>
      <c r="F43" s="132"/>
      <c r="G43" s="132"/>
      <c r="H43" s="132"/>
      <c r="I43" s="132"/>
      <c r="J43" s="132"/>
      <c r="K43" s="132"/>
      <c r="L43" s="132"/>
      <c r="M43" s="133"/>
    </row>
    <row r="44" spans="2:14" ht="15.75" x14ac:dyDescent="0.2">
      <c r="B44" s="70">
        <v>9</v>
      </c>
      <c r="C44" s="14" t="s">
        <v>26</v>
      </c>
      <c r="D44" s="134" t="s">
        <v>239</v>
      </c>
      <c r="E44" s="134"/>
      <c r="F44" s="132"/>
      <c r="G44" s="132"/>
      <c r="H44" s="132"/>
      <c r="I44" s="132"/>
      <c r="J44" s="132"/>
      <c r="K44" s="132"/>
      <c r="L44" s="132"/>
      <c r="M44" s="133"/>
    </row>
    <row r="45" spans="2:14" ht="25.5" x14ac:dyDescent="0.2">
      <c r="B45" s="70">
        <v>10</v>
      </c>
      <c r="C45" s="14" t="s">
        <v>95</v>
      </c>
      <c r="D45" s="132"/>
      <c r="E45" s="132"/>
      <c r="F45" s="176"/>
      <c r="G45" s="132"/>
      <c r="H45" s="132"/>
      <c r="I45" s="132"/>
      <c r="J45" s="132"/>
      <c r="K45" s="132"/>
      <c r="L45" s="132"/>
      <c r="M45" s="133"/>
    </row>
    <row r="46" spans="2:14" ht="15.75" x14ac:dyDescent="0.2">
      <c r="B46" s="70">
        <v>11</v>
      </c>
      <c r="C46" s="14" t="s">
        <v>161</v>
      </c>
      <c r="D46" s="134" t="s">
        <v>157</v>
      </c>
      <c r="E46" s="134"/>
      <c r="F46" s="132" t="s">
        <v>84</v>
      </c>
      <c r="G46" s="132"/>
      <c r="H46" s="132" t="s">
        <v>84</v>
      </c>
      <c r="I46" s="132"/>
      <c r="J46" s="132" t="s">
        <v>84</v>
      </c>
      <c r="K46" s="132"/>
      <c r="L46" s="132" t="s">
        <v>84</v>
      </c>
      <c r="M46" s="133"/>
    </row>
    <row r="47" spans="2:14" ht="16.5" thickBot="1" x14ac:dyDescent="0.25">
      <c r="B47" s="73">
        <v>12</v>
      </c>
      <c r="C47" s="80" t="s">
        <v>23</v>
      </c>
      <c r="D47" s="189" t="s">
        <v>42</v>
      </c>
      <c r="E47" s="189"/>
      <c r="F47" s="190" t="s">
        <v>84</v>
      </c>
      <c r="G47" s="190"/>
      <c r="H47" s="190" t="s">
        <v>84</v>
      </c>
      <c r="I47" s="190"/>
      <c r="J47" s="190" t="s">
        <v>84</v>
      </c>
      <c r="K47" s="190"/>
      <c r="L47" s="190" t="s">
        <v>84</v>
      </c>
      <c r="M47" s="191"/>
    </row>
    <row r="48" spans="2:14" x14ac:dyDescent="0.2">
      <c r="C48" s="79"/>
      <c r="F48" s="81"/>
      <c r="G48" s="81"/>
    </row>
    <row r="52" spans="3:4" x14ac:dyDescent="0.2">
      <c r="C52" s="82" t="s">
        <v>36</v>
      </c>
      <c r="D52" s="38" t="s">
        <v>101</v>
      </c>
    </row>
    <row r="53" spans="3:4" x14ac:dyDescent="0.2">
      <c r="C53" s="83" t="s">
        <v>84</v>
      </c>
      <c r="D53" s="38" t="s">
        <v>84</v>
      </c>
    </row>
    <row r="54" spans="3:4" x14ac:dyDescent="0.2">
      <c r="C54" s="38" t="s">
        <v>11</v>
      </c>
      <c r="D54" s="38" t="s">
        <v>104</v>
      </c>
    </row>
    <row r="55" spans="3:4" x14ac:dyDescent="0.2">
      <c r="C55" s="38" t="s">
        <v>12</v>
      </c>
      <c r="D55" s="38" t="s">
        <v>102</v>
      </c>
    </row>
    <row r="56" spans="3:4" x14ac:dyDescent="0.2">
      <c r="D56" s="38" t="s">
        <v>103</v>
      </c>
    </row>
    <row r="57" spans="3:4" x14ac:dyDescent="0.2">
      <c r="C57" s="82" t="s">
        <v>37</v>
      </c>
    </row>
    <row r="58" spans="3:4" x14ac:dyDescent="0.2">
      <c r="C58" s="83" t="s">
        <v>84</v>
      </c>
    </row>
    <row r="59" spans="3:4" x14ac:dyDescent="0.2">
      <c r="C59" s="84" t="s">
        <v>40</v>
      </c>
      <c r="D59" s="37" t="s">
        <v>27</v>
      </c>
    </row>
    <row r="60" spans="3:4" x14ac:dyDescent="0.2">
      <c r="C60" s="38" t="s">
        <v>38</v>
      </c>
      <c r="D60" s="37" t="s">
        <v>84</v>
      </c>
    </row>
    <row r="61" spans="3:4" x14ac:dyDescent="0.2">
      <c r="C61" s="38" t="s">
        <v>39</v>
      </c>
      <c r="D61" s="122" t="s">
        <v>147</v>
      </c>
    </row>
    <row r="62" spans="3:4" x14ac:dyDescent="0.2">
      <c r="C62" s="38" t="s">
        <v>72</v>
      </c>
      <c r="D62" s="122" t="s">
        <v>150</v>
      </c>
    </row>
    <row r="63" spans="3:4" x14ac:dyDescent="0.2">
      <c r="D63" s="84" t="s">
        <v>141</v>
      </c>
    </row>
    <row r="64" spans="3:4" x14ac:dyDescent="0.2">
      <c r="C64" s="15" t="s">
        <v>16</v>
      </c>
      <c r="D64" s="122" t="s">
        <v>148</v>
      </c>
    </row>
    <row r="65" spans="3:4" x14ac:dyDescent="0.2">
      <c r="C65" s="16" t="s">
        <v>84</v>
      </c>
      <c r="D65" s="122" t="s">
        <v>5</v>
      </c>
    </row>
    <row r="66" spans="3:4" x14ac:dyDescent="0.2">
      <c r="C66" s="17" t="s">
        <v>162</v>
      </c>
    </row>
    <row r="67" spans="3:4" x14ac:dyDescent="0.2">
      <c r="D67" s="82" t="s">
        <v>37</v>
      </c>
    </row>
    <row r="68" spans="3:4" x14ac:dyDescent="0.2">
      <c r="C68" s="123" t="s">
        <v>163</v>
      </c>
      <c r="D68" s="83" t="s">
        <v>84</v>
      </c>
    </row>
    <row r="69" spans="3:4" ht="25.5" x14ac:dyDescent="0.2">
      <c r="C69" s="38" t="s">
        <v>53</v>
      </c>
      <c r="D69" s="84" t="s">
        <v>160</v>
      </c>
    </row>
    <row r="70" spans="3:4" x14ac:dyDescent="0.2">
      <c r="C70" s="38" t="s">
        <v>182</v>
      </c>
      <c r="D70" s="38" t="s">
        <v>157</v>
      </c>
    </row>
    <row r="71" spans="3:4" x14ac:dyDescent="0.2">
      <c r="C71" s="38" t="s">
        <v>54</v>
      </c>
      <c r="D71" s="38" t="s">
        <v>158</v>
      </c>
    </row>
    <row r="72" spans="3:4" x14ac:dyDescent="0.2">
      <c r="C72" s="38" t="s">
        <v>183</v>
      </c>
      <c r="D72" s="38" t="s">
        <v>159</v>
      </c>
    </row>
    <row r="73" spans="3:4" x14ac:dyDescent="0.2">
      <c r="C73" s="38" t="s">
        <v>184</v>
      </c>
      <c r="D73" s="38" t="s">
        <v>41</v>
      </c>
    </row>
    <row r="74" spans="3:4" x14ac:dyDescent="0.2">
      <c r="C74" s="38" t="s">
        <v>58</v>
      </c>
    </row>
    <row r="75" spans="3:4" x14ac:dyDescent="0.2">
      <c r="C75" s="38" t="s">
        <v>59</v>
      </c>
      <c r="D75" s="82" t="s">
        <v>140</v>
      </c>
    </row>
    <row r="76" spans="3:4" x14ac:dyDescent="0.2">
      <c r="C76" s="38" t="s">
        <v>52</v>
      </c>
      <c r="D76" s="83" t="s">
        <v>84</v>
      </c>
    </row>
    <row r="77" spans="3:4" x14ac:dyDescent="0.2">
      <c r="C77" s="38" t="s">
        <v>56</v>
      </c>
      <c r="D77" s="84" t="s">
        <v>28</v>
      </c>
    </row>
    <row r="78" spans="3:4" x14ac:dyDescent="0.2">
      <c r="C78" s="38" t="s">
        <v>185</v>
      </c>
      <c r="D78" s="84" t="s">
        <v>142</v>
      </c>
    </row>
    <row r="79" spans="3:4" x14ac:dyDescent="0.2">
      <c r="C79" s="38" t="s">
        <v>50</v>
      </c>
      <c r="D79" s="84" t="s">
        <v>149</v>
      </c>
    </row>
    <row r="80" spans="3:4" x14ac:dyDescent="0.2">
      <c r="C80" s="38" t="s">
        <v>57</v>
      </c>
      <c r="D80" s="84" t="s">
        <v>143</v>
      </c>
    </row>
    <row r="81" spans="3:4" x14ac:dyDescent="0.2">
      <c r="C81" s="38" t="s">
        <v>186</v>
      </c>
      <c r="D81" s="84" t="s">
        <v>144</v>
      </c>
    </row>
    <row r="82" spans="3:4" x14ac:dyDescent="0.2">
      <c r="C82" s="38" t="s">
        <v>51</v>
      </c>
      <c r="D82" s="84" t="s">
        <v>141</v>
      </c>
    </row>
    <row r="83" spans="3:4" x14ac:dyDescent="0.2">
      <c r="C83" s="38" t="s">
        <v>55</v>
      </c>
      <c r="D83" s="84" t="s">
        <v>5</v>
      </c>
    </row>
    <row r="84" spans="3:4" x14ac:dyDescent="0.2">
      <c r="C84" s="38" t="s">
        <v>187</v>
      </c>
      <c r="D84" s="84" t="s">
        <v>145</v>
      </c>
    </row>
    <row r="85" spans="3:4" x14ac:dyDescent="0.2">
      <c r="C85" s="17" t="s">
        <v>73</v>
      </c>
    </row>
    <row r="87" spans="3:4" x14ac:dyDescent="0.2">
      <c r="C87" s="123" t="s">
        <v>164</v>
      </c>
    </row>
    <row r="88" spans="3:4" x14ac:dyDescent="0.2">
      <c r="C88" s="38" t="s">
        <v>49</v>
      </c>
    </row>
    <row r="89" spans="3:4" x14ac:dyDescent="0.2">
      <c r="C89" s="38" t="s">
        <v>188</v>
      </c>
    </row>
    <row r="90" spans="3:4" x14ac:dyDescent="0.2">
      <c r="C90" s="38" t="s">
        <v>189</v>
      </c>
    </row>
    <row r="91" spans="3:4" x14ac:dyDescent="0.2">
      <c r="C91" s="38" t="s">
        <v>190</v>
      </c>
    </row>
    <row r="92" spans="3:4" x14ac:dyDescent="0.2">
      <c r="C92" s="38" t="s">
        <v>191</v>
      </c>
    </row>
    <row r="93" spans="3:4" x14ac:dyDescent="0.2">
      <c r="C93" s="38" t="s">
        <v>192</v>
      </c>
    </row>
    <row r="94" spans="3:4" x14ac:dyDescent="0.2">
      <c r="C94" s="38" t="s">
        <v>60</v>
      </c>
    </row>
    <row r="95" spans="3:4" x14ac:dyDescent="0.2">
      <c r="C95" s="38" t="s">
        <v>61</v>
      </c>
    </row>
    <row r="96" spans="3:4" x14ac:dyDescent="0.2">
      <c r="C96" s="38" t="s">
        <v>193</v>
      </c>
    </row>
    <row r="97" spans="3:3" x14ac:dyDescent="0.2">
      <c r="C97" s="38" t="s">
        <v>194</v>
      </c>
    </row>
    <row r="98" spans="3:3" x14ac:dyDescent="0.2">
      <c r="C98" s="38" t="s">
        <v>195</v>
      </c>
    </row>
    <row r="99" spans="3:3" x14ac:dyDescent="0.2">
      <c r="C99" s="38" t="s">
        <v>196</v>
      </c>
    </row>
    <row r="100" spans="3:3" x14ac:dyDescent="0.2">
      <c r="C100" s="17" t="s">
        <v>73</v>
      </c>
    </row>
    <row r="101" spans="3:3" x14ac:dyDescent="0.2">
      <c r="C101" s="17"/>
    </row>
    <row r="102" spans="3:3" x14ac:dyDescent="0.2">
      <c r="C102" s="123" t="s">
        <v>165</v>
      </c>
    </row>
    <row r="103" spans="3:3" x14ac:dyDescent="0.2">
      <c r="C103" s="38" t="s">
        <v>65</v>
      </c>
    </row>
    <row r="104" spans="3:3" x14ac:dyDescent="0.2">
      <c r="C104" s="38" t="s">
        <v>47</v>
      </c>
    </row>
    <row r="105" spans="3:3" x14ac:dyDescent="0.2">
      <c r="C105" s="38" t="s">
        <v>70</v>
      </c>
    </row>
    <row r="106" spans="3:3" x14ac:dyDescent="0.2">
      <c r="C106" s="38" t="s">
        <v>46</v>
      </c>
    </row>
    <row r="107" spans="3:3" x14ac:dyDescent="0.2">
      <c r="C107" s="38" t="s">
        <v>67</v>
      </c>
    </row>
    <row r="108" spans="3:3" x14ac:dyDescent="0.2">
      <c r="C108" s="38" t="s">
        <v>197</v>
      </c>
    </row>
    <row r="109" spans="3:3" x14ac:dyDescent="0.2">
      <c r="C109" s="38" t="s">
        <v>198</v>
      </c>
    </row>
    <row r="110" spans="3:3" x14ac:dyDescent="0.2">
      <c r="C110" s="38" t="s">
        <v>63</v>
      </c>
    </row>
    <row r="111" spans="3:3" x14ac:dyDescent="0.2">
      <c r="C111" s="38" t="s">
        <v>68</v>
      </c>
    </row>
    <row r="112" spans="3:3" x14ac:dyDescent="0.2">
      <c r="C112" s="38" t="s">
        <v>66</v>
      </c>
    </row>
    <row r="113" spans="3:3" x14ac:dyDescent="0.2">
      <c r="C113" s="38" t="s">
        <v>42</v>
      </c>
    </row>
    <row r="114" spans="3:3" x14ac:dyDescent="0.2">
      <c r="C114" s="38" t="s">
        <v>69</v>
      </c>
    </row>
    <row r="115" spans="3:3" x14ac:dyDescent="0.2">
      <c r="C115" s="38" t="s">
        <v>61</v>
      </c>
    </row>
    <row r="116" spans="3:3" x14ac:dyDescent="0.2">
      <c r="C116" s="38" t="s">
        <v>64</v>
      </c>
    </row>
    <row r="117" spans="3:3" x14ac:dyDescent="0.2">
      <c r="C117" s="38" t="s">
        <v>71</v>
      </c>
    </row>
    <row r="118" spans="3:3" x14ac:dyDescent="0.2">
      <c r="C118" s="38" t="s">
        <v>45</v>
      </c>
    </row>
    <row r="119" spans="3:3" x14ac:dyDescent="0.2">
      <c r="C119" s="38" t="s">
        <v>44</v>
      </c>
    </row>
    <row r="120" spans="3:3" x14ac:dyDescent="0.2">
      <c r="C120" s="38" t="s">
        <v>62</v>
      </c>
    </row>
    <row r="121" spans="3:3" x14ac:dyDescent="0.2">
      <c r="C121" s="38" t="s">
        <v>48</v>
      </c>
    </row>
    <row r="122" spans="3:3" x14ac:dyDescent="0.2">
      <c r="C122" s="38" t="s">
        <v>43</v>
      </c>
    </row>
    <row r="123" spans="3:3" x14ac:dyDescent="0.2">
      <c r="C123" s="17" t="s">
        <v>73</v>
      </c>
    </row>
    <row r="125" spans="3:3" x14ac:dyDescent="0.2">
      <c r="C125" s="123" t="s">
        <v>202</v>
      </c>
    </row>
    <row r="126" spans="3:3" x14ac:dyDescent="0.2">
      <c r="C126" s="38" t="s">
        <v>197</v>
      </c>
    </row>
    <row r="127" spans="3:3" x14ac:dyDescent="0.2">
      <c r="C127" s="38" t="s">
        <v>199</v>
      </c>
    </row>
    <row r="128" spans="3:3" x14ac:dyDescent="0.2">
      <c r="C128" s="38" t="s">
        <v>200</v>
      </c>
    </row>
    <row r="129" spans="3:3" x14ac:dyDescent="0.2">
      <c r="C129" s="17" t="s">
        <v>73</v>
      </c>
    </row>
    <row r="131" spans="3:3" x14ac:dyDescent="0.2">
      <c r="C131" s="123" t="s">
        <v>176</v>
      </c>
    </row>
    <row r="132" spans="3:3" x14ac:dyDescent="0.2">
      <c r="C132" s="17" t="s">
        <v>166</v>
      </c>
    </row>
    <row r="133" spans="3:3" x14ac:dyDescent="0.2">
      <c r="C133" s="17" t="s">
        <v>167</v>
      </c>
    </row>
    <row r="134" spans="3:3" x14ac:dyDescent="0.2">
      <c r="C134" s="17" t="s">
        <v>168</v>
      </c>
    </row>
    <row r="135" spans="3:3" x14ac:dyDescent="0.2">
      <c r="C135" s="17" t="s">
        <v>73</v>
      </c>
    </row>
    <row r="137" spans="3:3" x14ac:dyDescent="0.2">
      <c r="C137" s="123" t="s">
        <v>177</v>
      </c>
    </row>
    <row r="138" spans="3:3" x14ac:dyDescent="0.2">
      <c r="C138" s="38" t="s">
        <v>201</v>
      </c>
    </row>
    <row r="139" spans="3:3" x14ac:dyDescent="0.2">
      <c r="C139" s="38" t="s">
        <v>169</v>
      </c>
    </row>
    <row r="140" spans="3:3" x14ac:dyDescent="0.2">
      <c r="C140" s="38" t="s">
        <v>170</v>
      </c>
    </row>
    <row r="141" spans="3:3" x14ac:dyDescent="0.2">
      <c r="C141" s="38" t="s">
        <v>171</v>
      </c>
    </row>
    <row r="142" spans="3:3" x14ac:dyDescent="0.2">
      <c r="C142" s="38" t="s">
        <v>172</v>
      </c>
    </row>
    <row r="143" spans="3:3" x14ac:dyDescent="0.2">
      <c r="C143" s="38" t="s">
        <v>173</v>
      </c>
    </row>
    <row r="144" spans="3:3" x14ac:dyDescent="0.2">
      <c r="C144" s="38" t="s">
        <v>174</v>
      </c>
    </row>
    <row r="145" spans="3:3" x14ac:dyDescent="0.2">
      <c r="C145" s="38" t="s">
        <v>175</v>
      </c>
    </row>
    <row r="146" spans="3:3" x14ac:dyDescent="0.2">
      <c r="C146" s="17" t="s">
        <v>73</v>
      </c>
    </row>
  </sheetData>
  <sheetProtection password="97D3" sheet="1" objects="1" scenarios="1" formatRows="0" insertHyperlinks="0"/>
  <mergeCells count="88">
    <mergeCell ref="D33:M33"/>
    <mergeCell ref="B30:M30"/>
    <mergeCell ref="D41:E41"/>
    <mergeCell ref="F41:G41"/>
    <mergeCell ref="H41:I41"/>
    <mergeCell ref="J41:K41"/>
    <mergeCell ref="D37:E37"/>
    <mergeCell ref="L37:M37"/>
    <mergeCell ref="J37:K37"/>
    <mergeCell ref="F38:G38"/>
    <mergeCell ref="D28:H28"/>
    <mergeCell ref="I28:M28"/>
    <mergeCell ref="B27:M27"/>
    <mergeCell ref="H35:I35"/>
    <mergeCell ref="J35:K35"/>
    <mergeCell ref="L35:M35"/>
    <mergeCell ref="D35:E35"/>
    <mergeCell ref="F35:G35"/>
    <mergeCell ref="D32:M32"/>
    <mergeCell ref="D31:M31"/>
    <mergeCell ref="L41:M41"/>
    <mergeCell ref="F36:G36"/>
    <mergeCell ref="H36:I36"/>
    <mergeCell ref="J36:K36"/>
    <mergeCell ref="L36:M36"/>
    <mergeCell ref="H38:I38"/>
    <mergeCell ref="J38:K38"/>
    <mergeCell ref="H37:I37"/>
    <mergeCell ref="L46:M46"/>
    <mergeCell ref="D47:E47"/>
    <mergeCell ref="F47:G47"/>
    <mergeCell ref="H47:I47"/>
    <mergeCell ref="J47:K47"/>
    <mergeCell ref="L47:M47"/>
    <mergeCell ref="D46:E46"/>
    <mergeCell ref="F46:G46"/>
    <mergeCell ref="H46:I46"/>
    <mergeCell ref="J46:K46"/>
    <mergeCell ref="J45:K45"/>
    <mergeCell ref="L45:M45"/>
    <mergeCell ref="B6:C6"/>
    <mergeCell ref="B23:M23"/>
    <mergeCell ref="L43:M43"/>
    <mergeCell ref="D44:E44"/>
    <mergeCell ref="F44:G44"/>
    <mergeCell ref="H44:I44"/>
    <mergeCell ref="J44:K44"/>
    <mergeCell ref="D45:E45"/>
    <mergeCell ref="F45:G45"/>
    <mergeCell ref="H45:I45"/>
    <mergeCell ref="D43:E43"/>
    <mergeCell ref="F43:G43"/>
    <mergeCell ref="H43:I43"/>
    <mergeCell ref="D17:M17"/>
    <mergeCell ref="D42:E42"/>
    <mergeCell ref="F42:G42"/>
    <mergeCell ref="H42:I42"/>
    <mergeCell ref="J42:K42"/>
    <mergeCell ref="B1:C1"/>
    <mergeCell ref="D22:M22"/>
    <mergeCell ref="J39:K39"/>
    <mergeCell ref="H39:I39"/>
    <mergeCell ref="F37:G37"/>
    <mergeCell ref="L42:M42"/>
    <mergeCell ref="L39:M39"/>
    <mergeCell ref="D40:E40"/>
    <mergeCell ref="F40:G40"/>
    <mergeCell ref="H40:I40"/>
    <mergeCell ref="E24:M25"/>
    <mergeCell ref="D14:M14"/>
    <mergeCell ref="D15:M15"/>
    <mergeCell ref="B4:M4"/>
    <mergeCell ref="L44:M44"/>
    <mergeCell ref="J43:K43"/>
    <mergeCell ref="J40:K40"/>
    <mergeCell ref="L40:M40"/>
    <mergeCell ref="D39:E39"/>
    <mergeCell ref="F39:G39"/>
    <mergeCell ref="D36:E36"/>
    <mergeCell ref="L38:M38"/>
    <mergeCell ref="D38:E38"/>
    <mergeCell ref="B2:M3"/>
    <mergeCell ref="C11:M11"/>
    <mergeCell ref="E18:M18"/>
    <mergeCell ref="D19:M19"/>
    <mergeCell ref="D16:M16"/>
    <mergeCell ref="D29:M29"/>
    <mergeCell ref="E26:M26"/>
  </mergeCells>
  <phoneticPr fontId="1" type="noConversion"/>
  <dataValidations xWindow="398" yWindow="177" count="8">
    <dataValidation type="list" allowBlank="1" showInputMessage="1" showErrorMessage="1" sqref="D46:M46">
      <formula1>$D$68:$D$73</formula1>
    </dataValidation>
    <dataValidation type="list" allowBlank="1" showInputMessage="1" showErrorMessage="1" sqref="D24">
      <formula1>$C$53:$C$55</formula1>
    </dataValidation>
    <dataValidation type="whole" allowBlank="1" showInputMessage="1" showErrorMessage="1" sqref="D18">
      <formula1>1</formula1>
      <formula2>5</formula2>
    </dataValidation>
    <dataValidation type="date" operator="greaterThanOrEqual" allowBlank="1" showInputMessage="1" showErrorMessage="1" sqref="D12">
      <formula1>39083</formula1>
    </dataValidation>
    <dataValidation operator="greaterThanOrEqual" allowBlank="1" showInputMessage="1" showErrorMessage="1" sqref="D13"/>
    <dataValidation type="list" allowBlank="1" showInputMessage="1" showErrorMessage="1" sqref="D26">
      <formula1>$D$76:$D$84</formula1>
    </dataValidation>
    <dataValidation type="list" allowBlank="1" showInputMessage="1" showErrorMessage="1" sqref="D25">
      <formula1>$D$60:$D$65</formula1>
    </dataValidation>
    <dataValidation type="list" allowBlank="1" showInputMessage="1" sqref="D47:M47">
      <formula1>$C$65:$C$146</formula1>
    </dataValidation>
  </dataValidations>
  <hyperlinks>
    <hyperlink ref="D39" r:id="rId1"/>
    <hyperlink ref="D41" r:id="rId2"/>
  </hyperlinks>
  <pageMargins left="0.74803149606299213" right="0.74803149606299213" top="0.98425196850393704" bottom="0.98425196850393704" header="0.51181102362204722" footer="0.51181102362204722"/>
  <pageSetup paperSize="9" scale="76" fitToHeight="100" orientation="landscape" verticalDpi="1200" r:id="rId3"/>
  <headerFooter alignWithMargins="0"/>
  <cellWatches>
    <cellWatch r="D18"/>
  </cellWatche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1">
    <pageSetUpPr fitToPage="1"/>
  </sheetPr>
  <dimension ref="B1:E52"/>
  <sheetViews>
    <sheetView rightToLeft="1" topLeftCell="A7" zoomScaleNormal="100" workbookViewId="0">
      <selection activeCell="E37" sqref="E37"/>
    </sheetView>
  </sheetViews>
  <sheetFormatPr defaultRowHeight="12.75" x14ac:dyDescent="0.2"/>
  <cols>
    <col min="1" max="1" width="2.42578125" style="37" customWidth="1"/>
    <col min="2" max="2" width="6.5703125" style="36" customWidth="1"/>
    <col min="3" max="3" width="50.85546875" style="37" customWidth="1"/>
    <col min="4" max="4" width="19.7109375" style="37" customWidth="1"/>
    <col min="5" max="5" width="94" style="37" customWidth="1"/>
    <col min="6" max="6" width="9.140625" style="37"/>
    <col min="7" max="7" width="21.140625" style="37" customWidth="1"/>
    <col min="8" max="16384" width="9.140625" style="37"/>
  </cols>
  <sheetData>
    <row r="1" spans="2:5" ht="13.5" thickBot="1" x14ac:dyDescent="0.25"/>
    <row r="2" spans="2:5" x14ac:dyDescent="0.2">
      <c r="B2" s="135" t="s">
        <v>85</v>
      </c>
      <c r="C2" s="136"/>
      <c r="D2" s="136"/>
      <c r="E2" s="137"/>
    </row>
    <row r="3" spans="2:5" ht="25.5" customHeight="1" x14ac:dyDescent="0.2">
      <c r="B3" s="138"/>
      <c r="C3" s="139"/>
      <c r="D3" s="139"/>
      <c r="E3" s="140"/>
    </row>
    <row r="4" spans="2:5" x14ac:dyDescent="0.2">
      <c r="B4" s="228" t="s">
        <v>87</v>
      </c>
      <c r="C4" s="229"/>
      <c r="D4" s="229"/>
      <c r="E4" s="230"/>
    </row>
    <row r="5" spans="2:5" ht="13.5" thickBot="1" x14ac:dyDescent="0.25">
      <c r="B5" s="165"/>
      <c r="C5" s="166"/>
      <c r="D5" s="166"/>
      <c r="E5" s="167"/>
    </row>
    <row r="6" spans="2:5" ht="25.5" customHeight="1" thickBot="1" x14ac:dyDescent="0.25"/>
    <row r="7" spans="2:5" s="38" customFormat="1" ht="13.5" thickBot="1" x14ac:dyDescent="0.25">
      <c r="B7" s="235" t="s">
        <v>106</v>
      </c>
      <c r="C7" s="236"/>
      <c r="E7" s="39"/>
    </row>
    <row r="8" spans="2:5" s="38" customFormat="1" x14ac:dyDescent="0.2">
      <c r="B8" s="40"/>
      <c r="C8" s="41" t="s">
        <v>76</v>
      </c>
      <c r="E8" s="39"/>
    </row>
    <row r="9" spans="2:5" s="38" customFormat="1" ht="13.5" thickBot="1" x14ac:dyDescent="0.25">
      <c r="B9" s="42"/>
      <c r="C9" s="43" t="s">
        <v>120</v>
      </c>
    </row>
    <row r="10" spans="2:5" s="38" customFormat="1" ht="13.5" thickBot="1" x14ac:dyDescent="0.25">
      <c r="C10" s="44"/>
      <c r="D10" s="45"/>
    </row>
    <row r="11" spans="2:5" s="38" customFormat="1" ht="13.5" thickBot="1" x14ac:dyDescent="0.25">
      <c r="B11" s="25" t="s">
        <v>33</v>
      </c>
      <c r="C11" s="46" t="s">
        <v>34</v>
      </c>
      <c r="D11" s="57" t="s">
        <v>35</v>
      </c>
      <c r="E11" s="58" t="s">
        <v>32</v>
      </c>
    </row>
    <row r="12" spans="2:5" s="38" customFormat="1" x14ac:dyDescent="0.2">
      <c r="B12" s="47">
        <v>1</v>
      </c>
      <c r="C12" s="29" t="s">
        <v>121</v>
      </c>
      <c r="D12" s="233" t="str">
        <f>'א. כללי'!D14</f>
        <v>מערכת לניטור, ניתוח וחיזוי תפוסת חניון - StatistiPark</v>
      </c>
      <c r="E12" s="234"/>
    </row>
    <row r="13" spans="2:5" s="38" customFormat="1" x14ac:dyDescent="0.2">
      <c r="B13" s="47">
        <v>2</v>
      </c>
      <c r="C13" s="29" t="s">
        <v>116</v>
      </c>
      <c r="D13" s="231" t="str">
        <f>'א. כללי'!D16</f>
        <v>הפרויקט הינו מערכת עזר לניהול חניון. המערכת עוזרת למנהל חניון ומפעילו לקבל תמונת מצב על החניון ולצפות בדוחות וסטטיסטיקות שונות. כמו כן, המערכת מסוגלת לחזות מתי תתפנה חניה בחניון.</v>
      </c>
      <c r="E13" s="232"/>
    </row>
    <row r="14" spans="2:5" s="38" customFormat="1" x14ac:dyDescent="0.2">
      <c r="B14" s="47">
        <v>3</v>
      </c>
      <c r="C14" s="29" t="s">
        <v>122</v>
      </c>
      <c r="D14" s="233" t="str">
        <f>CONCATENATE('א. כללי'!D37," ",'א. כללי'!D38,",",'א. כללי'!F37," ",'א. כללי'!F38,",",'א. כללי'!H37," ",'א. כללי'!H38,",",'א. כללי'!J37," ",'א. כללי'!J38,",",'א. כללי'!L37," ",'א. כללי'!L38)</f>
        <v xml:space="preserve">טווינה דביר, , , , </v>
      </c>
      <c r="E14" s="234"/>
    </row>
    <row r="15" spans="2:5" s="38" customFormat="1" x14ac:dyDescent="0.2">
      <c r="B15" s="47">
        <v>4</v>
      </c>
      <c r="C15" s="29" t="s">
        <v>124</v>
      </c>
      <c r="D15" s="233" t="str">
        <f>CONCATENATE('א. כללי'!D43," ",'א. כללי'!D44,",",'א. כללי'!F43," ",'א. כללי'!F44,",",'א. כללי'!H43," ",'א. כללי'!H44,",",'א. כללי'!J43," ",'א. כללי'!J44,",",'א. כללי'!L43," ",'א. כללי'!L44)</f>
        <v xml:space="preserve">פייטלסון דוד, , , , </v>
      </c>
      <c r="E15" s="234"/>
    </row>
    <row r="16" spans="2:5" s="38" customFormat="1" x14ac:dyDescent="0.2">
      <c r="B16" s="47">
        <v>5</v>
      </c>
      <c r="C16" s="29" t="s">
        <v>123</v>
      </c>
      <c r="D16" s="233" t="str">
        <f>'א. כללי'!D40</f>
        <v>050-3345698</v>
      </c>
      <c r="E16" s="234"/>
    </row>
    <row r="17" spans="2:5" s="38" customFormat="1" x14ac:dyDescent="0.2">
      <c r="B17" s="47">
        <v>6</v>
      </c>
      <c r="C17" s="29" t="s">
        <v>132</v>
      </c>
      <c r="D17" s="239" t="str">
        <f>'א. כללי'!D41:E41</f>
        <v>dvirtwina@gmail.com</v>
      </c>
      <c r="E17" s="240"/>
    </row>
    <row r="18" spans="2:5" s="38" customFormat="1" x14ac:dyDescent="0.2">
      <c r="B18" s="47">
        <v>7</v>
      </c>
      <c r="C18" s="29" t="s">
        <v>134</v>
      </c>
      <c r="D18" s="237" t="str">
        <f>'א. כללי'!D42</f>
        <v>PICTURES\תמונת פנים - דביר טווינה.png</v>
      </c>
      <c r="E18" s="238"/>
    </row>
    <row r="19" spans="2:5" s="38" customFormat="1" x14ac:dyDescent="0.2">
      <c r="B19" s="47">
        <v>8</v>
      </c>
      <c r="C19" s="29"/>
      <c r="D19" s="237">
        <f>'א. כללי'!D29</f>
        <v>0</v>
      </c>
      <c r="E19" s="238"/>
    </row>
    <row r="20" spans="2:5" s="38" customFormat="1" ht="25.5" x14ac:dyDescent="0.2">
      <c r="B20" s="47">
        <v>9</v>
      </c>
      <c r="C20" s="14" t="s">
        <v>181</v>
      </c>
      <c r="D20" s="237">
        <f>'א. כללי'!D28</f>
        <v>0</v>
      </c>
      <c r="E20" s="238"/>
    </row>
    <row r="21" spans="2:5" s="38" customFormat="1" x14ac:dyDescent="0.2">
      <c r="B21" s="47">
        <v>10</v>
      </c>
      <c r="C21" s="29" t="s">
        <v>117</v>
      </c>
      <c r="D21" s="257" t="s">
        <v>240</v>
      </c>
      <c r="E21" s="218"/>
    </row>
    <row r="22" spans="2:5" s="38" customFormat="1" x14ac:dyDescent="0.2">
      <c r="B22" s="47">
        <v>11</v>
      </c>
      <c r="C22" s="29" t="s">
        <v>91</v>
      </c>
      <c r="D22" s="257" t="s">
        <v>241</v>
      </c>
      <c r="E22" s="218"/>
    </row>
    <row r="23" spans="2:5" s="38" customFormat="1" ht="26.25" customHeight="1" x14ac:dyDescent="0.2">
      <c r="B23" s="47">
        <v>12</v>
      </c>
      <c r="C23" s="29" t="s">
        <v>92</v>
      </c>
      <c r="D23" s="257" t="s">
        <v>242</v>
      </c>
      <c r="E23" s="218"/>
    </row>
    <row r="24" spans="2:5" s="38" customFormat="1" x14ac:dyDescent="0.2">
      <c r="B24" s="47">
        <v>13</v>
      </c>
      <c r="C24" s="29" t="s">
        <v>93</v>
      </c>
      <c r="D24" s="257" t="s">
        <v>244</v>
      </c>
      <c r="E24" s="218"/>
    </row>
    <row r="25" spans="2:5" s="38" customFormat="1" x14ac:dyDescent="0.2">
      <c r="B25" s="47">
        <v>14</v>
      </c>
      <c r="C25" s="31" t="s">
        <v>118</v>
      </c>
      <c r="D25" s="258" t="s">
        <v>243</v>
      </c>
      <c r="E25" s="218"/>
    </row>
    <row r="26" spans="2:5" s="38" customFormat="1" x14ac:dyDescent="0.2">
      <c r="B26" s="47">
        <v>15</v>
      </c>
      <c r="C26" s="31" t="s">
        <v>6</v>
      </c>
      <c r="D26" s="258" t="s">
        <v>245</v>
      </c>
      <c r="E26" s="218"/>
    </row>
    <row r="27" spans="2:5" s="38" customFormat="1" ht="25.5" x14ac:dyDescent="0.2">
      <c r="B27" s="47">
        <v>16</v>
      </c>
      <c r="C27" s="8" t="s">
        <v>89</v>
      </c>
      <c r="D27" s="226"/>
      <c r="E27" s="227"/>
    </row>
    <row r="28" spans="2:5" s="38" customFormat="1" x14ac:dyDescent="0.2">
      <c r="B28" s="47">
        <v>17</v>
      </c>
      <c r="C28" s="32" t="s">
        <v>152</v>
      </c>
      <c r="D28" s="30" t="s">
        <v>90</v>
      </c>
      <c r="E28" s="259" t="s">
        <v>246</v>
      </c>
    </row>
    <row r="29" spans="2:5" s="38" customFormat="1" ht="26.25" thickBot="1" x14ac:dyDescent="0.25">
      <c r="B29" s="48">
        <v>18</v>
      </c>
      <c r="C29" s="20" t="s">
        <v>153</v>
      </c>
      <c r="D29" s="33" t="s">
        <v>90</v>
      </c>
      <c r="E29" s="260" t="s">
        <v>247</v>
      </c>
    </row>
    <row r="30" spans="2:5" s="35" customFormat="1" x14ac:dyDescent="0.2">
      <c r="B30" s="49"/>
      <c r="C30" s="9"/>
      <c r="D30" s="34"/>
    </row>
    <row r="31" spans="2:5" s="38" customFormat="1" ht="13.5" hidden="1" thickBot="1" x14ac:dyDescent="0.25">
      <c r="B31" s="219" t="s">
        <v>203</v>
      </c>
      <c r="C31" s="220"/>
      <c r="D31" s="220"/>
      <c r="E31" s="221"/>
    </row>
    <row r="32" spans="2:5" s="38" customFormat="1" hidden="1" x14ac:dyDescent="0.2">
      <c r="B32" s="216">
        <v>19</v>
      </c>
      <c r="C32" s="224" t="s">
        <v>7</v>
      </c>
      <c r="D32" s="50" t="s">
        <v>8</v>
      </c>
      <c r="E32" s="51" t="s">
        <v>84</v>
      </c>
    </row>
    <row r="33" spans="2:5" s="38" customFormat="1" hidden="1" x14ac:dyDescent="0.2">
      <c r="B33" s="217"/>
      <c r="C33" s="225"/>
      <c r="D33" s="52" t="s">
        <v>151</v>
      </c>
      <c r="E33" s="53" t="s">
        <v>84</v>
      </c>
    </row>
    <row r="34" spans="2:5" s="38" customFormat="1" ht="13.5" hidden="1" thickBot="1" x14ac:dyDescent="0.25">
      <c r="B34" s="217"/>
      <c r="C34" s="225"/>
      <c r="D34" s="54" t="s">
        <v>9</v>
      </c>
      <c r="E34" s="53" t="s">
        <v>84</v>
      </c>
    </row>
    <row r="35" spans="2:5" s="38" customFormat="1" ht="13.5" hidden="1" thickBot="1" x14ac:dyDescent="0.25">
      <c r="B35" s="55">
        <v>20</v>
      </c>
      <c r="C35" s="56" t="s">
        <v>10</v>
      </c>
      <c r="D35" s="222"/>
      <c r="E35" s="223"/>
    </row>
    <row r="36" spans="2:5" s="38" customFormat="1" hidden="1" x14ac:dyDescent="0.2">
      <c r="B36" s="36"/>
    </row>
    <row r="37" spans="2:5" s="38" customFormat="1" x14ac:dyDescent="0.2">
      <c r="B37" s="36"/>
    </row>
    <row r="39" spans="2:5" hidden="1" x14ac:dyDescent="0.2">
      <c r="B39" s="37" t="s">
        <v>88</v>
      </c>
      <c r="C39" s="37" t="s">
        <v>88</v>
      </c>
    </row>
    <row r="40" spans="2:5" ht="51" hidden="1" x14ac:dyDescent="0.2">
      <c r="B40" s="37" t="s">
        <v>84</v>
      </c>
      <c r="C40" s="37" t="s">
        <v>84</v>
      </c>
    </row>
    <row r="41" spans="2:5" hidden="1" x14ac:dyDescent="0.2">
      <c r="B41" s="37" t="s">
        <v>11</v>
      </c>
      <c r="C41" s="37" t="s">
        <v>90</v>
      </c>
    </row>
    <row r="42" spans="2:5" hidden="1" x14ac:dyDescent="0.2">
      <c r="B42" s="37" t="s">
        <v>12</v>
      </c>
      <c r="C42" s="37" t="s">
        <v>12</v>
      </c>
    </row>
    <row r="43" spans="2:5" hidden="1" x14ac:dyDescent="0.2"/>
    <row r="44" spans="2:5" ht="38.25" hidden="1" x14ac:dyDescent="0.2">
      <c r="B44" s="37" t="s">
        <v>27</v>
      </c>
    </row>
    <row r="45" spans="2:5" hidden="1" x14ac:dyDescent="0.2">
      <c r="B45" s="37"/>
    </row>
    <row r="46" spans="2:5" ht="51" hidden="1" x14ac:dyDescent="0.2">
      <c r="B46" s="37" t="s">
        <v>84</v>
      </c>
    </row>
    <row r="47" spans="2:5" hidden="1" x14ac:dyDescent="0.2">
      <c r="B47" s="37" t="s">
        <v>28</v>
      </c>
    </row>
    <row r="48" spans="2:5" ht="25.5" hidden="1" x14ac:dyDescent="0.2">
      <c r="B48" s="37" t="s">
        <v>99</v>
      </c>
    </row>
    <row r="49" spans="2:2" hidden="1" x14ac:dyDescent="0.2">
      <c r="B49" s="37" t="s">
        <v>29</v>
      </c>
    </row>
    <row r="50" spans="2:2" ht="51" hidden="1" x14ac:dyDescent="0.2">
      <c r="B50" s="37" t="s">
        <v>30</v>
      </c>
    </row>
    <row r="51" spans="2:2" hidden="1" x14ac:dyDescent="0.2">
      <c r="B51" s="37" t="s">
        <v>86</v>
      </c>
    </row>
    <row r="52" spans="2:2" ht="63.75" hidden="1" x14ac:dyDescent="0.2">
      <c r="B52" s="37" t="s">
        <v>31</v>
      </c>
    </row>
  </sheetData>
  <sheetProtection password="97D3" sheet="1" objects="1" scenarios="1" formatRows="0"/>
  <mergeCells count="24">
    <mergeCell ref="D24:E24"/>
    <mergeCell ref="B7:C7"/>
    <mergeCell ref="D23:E23"/>
    <mergeCell ref="D18:E18"/>
    <mergeCell ref="D15:E15"/>
    <mergeCell ref="D20:E20"/>
    <mergeCell ref="D19:E19"/>
    <mergeCell ref="D17:E17"/>
    <mergeCell ref="B2:E3"/>
    <mergeCell ref="B4:E4"/>
    <mergeCell ref="D13:E13"/>
    <mergeCell ref="D22:E22"/>
    <mergeCell ref="D21:E21"/>
    <mergeCell ref="B5:E5"/>
    <mergeCell ref="D12:E12"/>
    <mergeCell ref="D14:E14"/>
    <mergeCell ref="D16:E16"/>
    <mergeCell ref="B32:B34"/>
    <mergeCell ref="D26:E26"/>
    <mergeCell ref="B31:E31"/>
    <mergeCell ref="D25:E25"/>
    <mergeCell ref="D35:E35"/>
    <mergeCell ref="C32:C34"/>
    <mergeCell ref="D27:E27"/>
  </mergeCells>
  <phoneticPr fontId="1" type="noConversion"/>
  <dataValidations count="2">
    <dataValidation type="list" allowBlank="1" showInputMessage="1" showErrorMessage="1" sqref="E32:E34">
      <formula1>$B$40:$B$42</formula1>
    </dataValidation>
    <dataValidation type="list" allowBlank="1" showInputMessage="1" showErrorMessage="1" sqref="D28:D30">
      <formula1>$C$40:$C$42</formula1>
    </dataValidation>
  </dataValidations>
  <pageMargins left="0.75" right="0.75" top="1" bottom="1" header="0.5" footer="0.5"/>
  <pageSetup paperSize="9" scale="75" fitToHeight="100"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3">
    <pageSetUpPr fitToPage="1"/>
  </sheetPr>
  <dimension ref="B1:E53"/>
  <sheetViews>
    <sheetView rightToLeft="1" workbookViewId="0"/>
  </sheetViews>
  <sheetFormatPr defaultRowHeight="12.75" x14ac:dyDescent="0.2"/>
  <cols>
    <col min="1" max="1" width="1.42578125" style="85" customWidth="1"/>
    <col min="2" max="2" width="7.42578125" style="85" customWidth="1"/>
    <col min="3" max="3" width="24.28515625" style="85" customWidth="1"/>
    <col min="4" max="4" width="29.85546875" style="85" customWidth="1"/>
    <col min="5" max="5" width="74" style="85" customWidth="1"/>
    <col min="6" max="16384" width="9.140625" style="85"/>
  </cols>
  <sheetData>
    <row r="1" spans="2:5" ht="13.5" thickBot="1" x14ac:dyDescent="0.25"/>
    <row r="2" spans="2:5" ht="12.75" customHeight="1" x14ac:dyDescent="0.2">
      <c r="B2" s="243" t="s">
        <v>178</v>
      </c>
      <c r="C2" s="244"/>
      <c r="D2" s="244"/>
      <c r="E2" s="245"/>
    </row>
    <row r="3" spans="2:5" ht="55.5" customHeight="1" thickBot="1" x14ac:dyDescent="0.25">
      <c r="B3" s="246"/>
      <c r="C3" s="247"/>
      <c r="D3" s="247"/>
      <c r="E3" s="248"/>
    </row>
    <row r="4" spans="2:5" ht="13.5" customHeight="1" thickBot="1" x14ac:dyDescent="0.25">
      <c r="B4" s="86"/>
    </row>
    <row r="5" spans="2:5" ht="13.5" thickBot="1" x14ac:dyDescent="0.25">
      <c r="B5" s="241" t="s">
        <v>106</v>
      </c>
      <c r="C5" s="242"/>
      <c r="D5" s="87"/>
    </row>
    <row r="6" spans="2:5" ht="13.5" thickBot="1" x14ac:dyDescent="0.25">
      <c r="B6" s="88"/>
      <c r="C6" s="89" t="s">
        <v>82</v>
      </c>
      <c r="D6" s="87"/>
    </row>
    <row r="7" spans="2:5" x14ac:dyDescent="0.2">
      <c r="C7" s="90"/>
      <c r="D7" s="90"/>
      <c r="E7" s="90"/>
    </row>
    <row r="8" spans="2:5" ht="13.5" thickBot="1" x14ac:dyDescent="0.25">
      <c r="C8" s="90"/>
      <c r="D8" s="90"/>
      <c r="E8" s="90"/>
    </row>
    <row r="9" spans="2:5" ht="30.75" customHeight="1" thickBot="1" x14ac:dyDescent="0.25">
      <c r="B9" s="27" t="s">
        <v>114</v>
      </c>
      <c r="C9" s="91" t="s">
        <v>79</v>
      </c>
      <c r="D9" s="92" t="s">
        <v>80</v>
      </c>
      <c r="E9" s="28" t="s">
        <v>129</v>
      </c>
    </row>
    <row r="10" spans="2:5" x14ac:dyDescent="0.2">
      <c r="B10" s="93">
        <v>1</v>
      </c>
      <c r="C10" s="94" t="s">
        <v>84</v>
      </c>
      <c r="D10" s="95"/>
      <c r="E10" s="96"/>
    </row>
    <row r="11" spans="2:5" x14ac:dyDescent="0.2">
      <c r="B11" s="97">
        <v>2</v>
      </c>
      <c r="C11" s="98" t="s">
        <v>84</v>
      </c>
      <c r="D11" s="99"/>
      <c r="E11" s="100"/>
    </row>
    <row r="12" spans="2:5" x14ac:dyDescent="0.2">
      <c r="B12" s="97">
        <v>3</v>
      </c>
      <c r="C12" s="98" t="s">
        <v>84</v>
      </c>
      <c r="D12" s="99"/>
      <c r="E12" s="100"/>
    </row>
    <row r="13" spans="2:5" x14ac:dyDescent="0.2">
      <c r="B13" s="97">
        <v>4</v>
      </c>
      <c r="C13" s="98" t="s">
        <v>84</v>
      </c>
      <c r="D13" s="99"/>
      <c r="E13" s="100"/>
    </row>
    <row r="14" spans="2:5" x14ac:dyDescent="0.2">
      <c r="B14" s="97">
        <v>5</v>
      </c>
      <c r="C14" s="98" t="s">
        <v>84</v>
      </c>
      <c r="D14" s="99"/>
      <c r="E14" s="100"/>
    </row>
    <row r="15" spans="2:5" x14ac:dyDescent="0.2">
      <c r="B15" s="97">
        <v>6</v>
      </c>
      <c r="C15" s="98" t="s">
        <v>84</v>
      </c>
      <c r="D15" s="99"/>
      <c r="E15" s="101"/>
    </row>
    <row r="16" spans="2:5" x14ac:dyDescent="0.2">
      <c r="B16" s="97">
        <v>7</v>
      </c>
      <c r="C16" s="98" t="s">
        <v>84</v>
      </c>
      <c r="D16" s="99"/>
      <c r="E16" s="100"/>
    </row>
    <row r="17" spans="2:5" x14ac:dyDescent="0.2">
      <c r="B17" s="97">
        <v>8</v>
      </c>
      <c r="C17" s="98" t="s">
        <v>84</v>
      </c>
      <c r="D17" s="99"/>
      <c r="E17" s="100"/>
    </row>
    <row r="18" spans="2:5" x14ac:dyDescent="0.2">
      <c r="B18" s="97">
        <v>9</v>
      </c>
      <c r="C18" s="98" t="s">
        <v>84</v>
      </c>
      <c r="D18" s="99"/>
      <c r="E18" s="100"/>
    </row>
    <row r="19" spans="2:5" x14ac:dyDescent="0.2">
      <c r="B19" s="97">
        <v>10</v>
      </c>
      <c r="C19" s="98" t="s">
        <v>84</v>
      </c>
      <c r="D19" s="99"/>
      <c r="E19" s="100"/>
    </row>
    <row r="20" spans="2:5" x14ac:dyDescent="0.2">
      <c r="B20" s="97">
        <v>11</v>
      </c>
      <c r="C20" s="98" t="s">
        <v>84</v>
      </c>
      <c r="D20" s="99"/>
      <c r="E20" s="101"/>
    </row>
    <row r="21" spans="2:5" x14ac:dyDescent="0.2">
      <c r="B21" s="97">
        <v>12</v>
      </c>
      <c r="C21" s="98" t="s">
        <v>84</v>
      </c>
      <c r="D21" s="99"/>
      <c r="E21" s="100"/>
    </row>
    <row r="22" spans="2:5" x14ac:dyDescent="0.2">
      <c r="B22" s="97">
        <v>13</v>
      </c>
      <c r="C22" s="98" t="s">
        <v>84</v>
      </c>
      <c r="D22" s="99"/>
      <c r="E22" s="101"/>
    </row>
    <row r="23" spans="2:5" x14ac:dyDescent="0.2">
      <c r="B23" s="97">
        <v>14</v>
      </c>
      <c r="C23" s="98" t="s">
        <v>84</v>
      </c>
      <c r="D23" s="99"/>
      <c r="E23" s="100"/>
    </row>
    <row r="24" spans="2:5" x14ac:dyDescent="0.2">
      <c r="B24" s="97">
        <v>15</v>
      </c>
      <c r="C24" s="98" t="s">
        <v>84</v>
      </c>
      <c r="D24" s="99"/>
      <c r="E24" s="101"/>
    </row>
    <row r="25" spans="2:5" x14ac:dyDescent="0.2">
      <c r="B25" s="97">
        <v>16</v>
      </c>
      <c r="C25" s="98" t="s">
        <v>84</v>
      </c>
      <c r="D25" s="99"/>
      <c r="E25" s="101"/>
    </row>
    <row r="26" spans="2:5" x14ac:dyDescent="0.2">
      <c r="B26" s="97">
        <v>17</v>
      </c>
      <c r="C26" s="98" t="s">
        <v>84</v>
      </c>
      <c r="D26" s="99"/>
      <c r="E26" s="100"/>
    </row>
    <row r="27" spans="2:5" x14ac:dyDescent="0.2">
      <c r="B27" s="97">
        <v>18</v>
      </c>
      <c r="C27" s="98" t="s">
        <v>84</v>
      </c>
      <c r="D27" s="99"/>
      <c r="E27" s="100"/>
    </row>
    <row r="28" spans="2:5" x14ac:dyDescent="0.2">
      <c r="B28" s="97">
        <v>19</v>
      </c>
      <c r="C28" s="98" t="s">
        <v>84</v>
      </c>
      <c r="D28" s="99"/>
      <c r="E28" s="100"/>
    </row>
    <row r="29" spans="2:5" x14ac:dyDescent="0.2">
      <c r="B29" s="97">
        <v>20</v>
      </c>
      <c r="C29" s="98" t="s">
        <v>84</v>
      </c>
      <c r="D29" s="99"/>
      <c r="E29" s="101"/>
    </row>
    <row r="30" spans="2:5" x14ac:dyDescent="0.2">
      <c r="B30" s="97">
        <v>21</v>
      </c>
      <c r="C30" s="98" t="s">
        <v>84</v>
      </c>
      <c r="D30" s="99"/>
      <c r="E30" s="100"/>
    </row>
    <row r="31" spans="2:5" x14ac:dyDescent="0.2">
      <c r="B31" s="97">
        <v>22</v>
      </c>
      <c r="C31" s="98" t="s">
        <v>84</v>
      </c>
      <c r="D31" s="99"/>
      <c r="E31" s="100"/>
    </row>
    <row r="32" spans="2:5" x14ac:dyDescent="0.2">
      <c r="B32" s="97">
        <v>23</v>
      </c>
      <c r="C32" s="98" t="s">
        <v>84</v>
      </c>
      <c r="D32" s="99"/>
      <c r="E32" s="100"/>
    </row>
    <row r="33" spans="2:5" x14ac:dyDescent="0.2">
      <c r="B33" s="97">
        <v>24</v>
      </c>
      <c r="C33" s="98" t="s">
        <v>84</v>
      </c>
      <c r="D33" s="99"/>
      <c r="E33" s="101"/>
    </row>
    <row r="34" spans="2:5" x14ac:dyDescent="0.2">
      <c r="B34" s="97">
        <v>25</v>
      </c>
      <c r="C34" s="98" t="s">
        <v>84</v>
      </c>
      <c r="D34" s="99"/>
      <c r="E34" s="100"/>
    </row>
    <row r="35" spans="2:5" x14ac:dyDescent="0.2">
      <c r="B35" s="97">
        <v>26</v>
      </c>
      <c r="C35" s="98" t="s">
        <v>84</v>
      </c>
      <c r="D35" s="99"/>
      <c r="E35" s="100"/>
    </row>
    <row r="36" spans="2:5" x14ac:dyDescent="0.2">
      <c r="B36" s="97">
        <v>27</v>
      </c>
      <c r="C36" s="98" t="s">
        <v>84</v>
      </c>
      <c r="D36" s="99"/>
      <c r="E36" s="100"/>
    </row>
    <row r="37" spans="2:5" x14ac:dyDescent="0.2">
      <c r="B37" s="97">
        <v>28</v>
      </c>
      <c r="C37" s="98" t="s">
        <v>84</v>
      </c>
      <c r="D37" s="99"/>
      <c r="E37" s="101"/>
    </row>
    <row r="38" spans="2:5" x14ac:dyDescent="0.2">
      <c r="B38" s="97">
        <v>29</v>
      </c>
      <c r="C38" s="98" t="s">
        <v>84</v>
      </c>
      <c r="D38" s="99"/>
      <c r="E38" s="100"/>
    </row>
    <row r="39" spans="2:5" x14ac:dyDescent="0.2">
      <c r="B39" s="97">
        <v>30</v>
      </c>
      <c r="C39" s="98" t="s">
        <v>84</v>
      </c>
      <c r="D39" s="99"/>
      <c r="E39" s="100"/>
    </row>
    <row r="40" spans="2:5" x14ac:dyDescent="0.2">
      <c r="B40" s="97">
        <v>31</v>
      </c>
      <c r="C40" s="98" t="s">
        <v>84</v>
      </c>
      <c r="D40" s="99"/>
      <c r="E40" s="100"/>
    </row>
    <row r="41" spans="2:5" ht="13.5" thickBot="1" x14ac:dyDescent="0.25">
      <c r="B41" s="102">
        <v>32</v>
      </c>
      <c r="C41" s="103" t="s">
        <v>84</v>
      </c>
      <c r="D41" s="104"/>
      <c r="E41" s="105"/>
    </row>
    <row r="43" spans="2:5" x14ac:dyDescent="0.2">
      <c r="C43" s="38"/>
      <c r="D43" s="38"/>
      <c r="E43" s="38"/>
    </row>
    <row r="44" spans="2:5" hidden="1" x14ac:dyDescent="0.2">
      <c r="C44" s="38" t="s">
        <v>84</v>
      </c>
      <c r="D44" s="38"/>
      <c r="E44" s="38"/>
    </row>
    <row r="45" spans="2:5" hidden="1" x14ac:dyDescent="0.2">
      <c r="C45" s="38" t="s">
        <v>110</v>
      </c>
      <c r="D45" s="38"/>
      <c r="E45" s="38"/>
    </row>
    <row r="46" spans="2:5" hidden="1" x14ac:dyDescent="0.2">
      <c r="C46" s="38" t="s">
        <v>111</v>
      </c>
      <c r="D46" s="38"/>
      <c r="E46" s="38"/>
    </row>
    <row r="47" spans="2:5" hidden="1" x14ac:dyDescent="0.2">
      <c r="C47" s="38" t="s">
        <v>112</v>
      </c>
      <c r="D47" s="38"/>
      <c r="E47" s="38"/>
    </row>
    <row r="48" spans="2:5" hidden="1" x14ac:dyDescent="0.2">
      <c r="C48" s="38" t="s">
        <v>5</v>
      </c>
      <c r="D48" s="38"/>
      <c r="E48" s="38"/>
    </row>
    <row r="49" spans="3:5" x14ac:dyDescent="0.2">
      <c r="C49" s="38"/>
      <c r="D49" s="38"/>
      <c r="E49" s="38"/>
    </row>
    <row r="50" spans="3:5" x14ac:dyDescent="0.2">
      <c r="C50" s="38"/>
      <c r="D50" s="38"/>
      <c r="E50" s="38"/>
    </row>
    <row r="51" spans="3:5" x14ac:dyDescent="0.2">
      <c r="C51" s="38"/>
      <c r="D51" s="38"/>
      <c r="E51" s="38"/>
    </row>
    <row r="52" spans="3:5" x14ac:dyDescent="0.2">
      <c r="C52" s="38"/>
      <c r="D52" s="38"/>
      <c r="E52" s="38"/>
    </row>
    <row r="53" spans="3:5" x14ac:dyDescent="0.2">
      <c r="E53" s="38"/>
    </row>
  </sheetData>
  <sheetProtection password="97D3" sheet="1" objects="1" scenarios="1" formatRows="0"/>
  <mergeCells count="2">
    <mergeCell ref="B5:C5"/>
    <mergeCell ref="B2:E3"/>
  </mergeCells>
  <phoneticPr fontId="1" type="noConversion"/>
  <dataValidations count="1">
    <dataValidation type="list" allowBlank="1" showInputMessage="1" showErrorMessage="1" sqref="C10:C41">
      <formula1>$C$44:$C$48</formula1>
    </dataValidation>
  </dataValidations>
  <pageMargins left="0.75" right="0.75" top="1" bottom="1" header="0.5" footer="0.5"/>
  <pageSetup paperSize="9" scale="96" fitToHeight="100" orientation="landscape" r:id="rId1"/>
  <headerFooter alignWithMargins="0"/>
  <cellWatches>
    <cellWatch r="D10"/>
  </cellWatche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4">
    <pageSetUpPr fitToPage="1"/>
  </sheetPr>
  <dimension ref="B1:G54"/>
  <sheetViews>
    <sheetView rightToLeft="1" workbookViewId="0"/>
  </sheetViews>
  <sheetFormatPr defaultRowHeight="12.75" x14ac:dyDescent="0.2"/>
  <cols>
    <col min="1" max="1" width="1.42578125" style="85" customWidth="1"/>
    <col min="2" max="2" width="7.42578125" style="85" customWidth="1"/>
    <col min="3" max="3" width="24.28515625" style="85" customWidth="1"/>
    <col min="4" max="4" width="29.85546875" style="85" customWidth="1"/>
    <col min="5" max="5" width="74" style="85" customWidth="1"/>
    <col min="6" max="6" width="9.140625" style="85"/>
    <col min="7" max="7" width="12.7109375" style="85" bestFit="1" customWidth="1"/>
    <col min="8" max="16384" width="9.140625" style="85"/>
  </cols>
  <sheetData>
    <row r="1" spans="2:7" ht="13.5" thickBot="1" x14ac:dyDescent="0.25"/>
    <row r="2" spans="2:7" ht="15.75" customHeight="1" x14ac:dyDescent="0.2">
      <c r="B2" s="249" t="s">
        <v>96</v>
      </c>
      <c r="C2" s="250"/>
      <c r="D2" s="250"/>
      <c r="E2" s="251"/>
    </row>
    <row r="3" spans="2:7" ht="25.5" customHeight="1" thickBot="1" x14ac:dyDescent="0.25">
      <c r="B3" s="252"/>
      <c r="C3" s="253"/>
      <c r="D3" s="253"/>
      <c r="E3" s="254"/>
    </row>
    <row r="4" spans="2:7" ht="13.5" thickBot="1" x14ac:dyDescent="0.25">
      <c r="C4" s="90"/>
      <c r="D4" s="90"/>
      <c r="E4" s="90"/>
      <c r="G4" s="106"/>
    </row>
    <row r="5" spans="2:7" ht="13.5" thickBot="1" x14ac:dyDescent="0.25">
      <c r="B5" s="241" t="s">
        <v>106</v>
      </c>
      <c r="C5" s="242"/>
      <c r="D5" s="87"/>
      <c r="G5" s="106"/>
    </row>
    <row r="6" spans="2:7" ht="13.5" thickBot="1" x14ac:dyDescent="0.25">
      <c r="B6" s="88"/>
      <c r="C6" s="89" t="s">
        <v>82</v>
      </c>
      <c r="D6" s="87"/>
    </row>
    <row r="7" spans="2:7" x14ac:dyDescent="0.2">
      <c r="B7" s="90"/>
      <c r="C7" s="90"/>
      <c r="D7" s="90"/>
      <c r="E7" s="90"/>
      <c r="G7" s="106"/>
    </row>
    <row r="8" spans="2:7" ht="13.5" thickBot="1" x14ac:dyDescent="0.25">
      <c r="B8" s="90"/>
      <c r="C8" s="90"/>
      <c r="D8" s="90"/>
      <c r="E8" s="90"/>
      <c r="G8" s="106"/>
    </row>
    <row r="9" spans="2:7" ht="26.25" thickBot="1" x14ac:dyDescent="0.25">
      <c r="B9" s="1" t="s">
        <v>113</v>
      </c>
      <c r="C9" s="107" t="s">
        <v>130</v>
      </c>
      <c r="D9" s="108" t="s">
        <v>83</v>
      </c>
      <c r="E9" s="26" t="s">
        <v>179</v>
      </c>
      <c r="G9" s="109"/>
    </row>
    <row r="10" spans="2:7" x14ac:dyDescent="0.2">
      <c r="B10" s="93">
        <v>1</v>
      </c>
      <c r="C10" s="110" t="s">
        <v>84</v>
      </c>
      <c r="D10" s="111"/>
      <c r="E10" s="112"/>
      <c r="G10" s="106"/>
    </row>
    <row r="11" spans="2:7" x14ac:dyDescent="0.2">
      <c r="B11" s="97">
        <v>2</v>
      </c>
      <c r="C11" s="113" t="s">
        <v>84</v>
      </c>
      <c r="D11" s="114"/>
      <c r="E11" s="115"/>
      <c r="G11" s="106"/>
    </row>
    <row r="12" spans="2:7" x14ac:dyDescent="0.2">
      <c r="B12" s="97">
        <v>3</v>
      </c>
      <c r="C12" s="113" t="s">
        <v>84</v>
      </c>
      <c r="D12" s="114"/>
      <c r="E12" s="116"/>
      <c r="G12" s="106"/>
    </row>
    <row r="13" spans="2:7" x14ac:dyDescent="0.2">
      <c r="B13" s="97">
        <v>4</v>
      </c>
      <c r="C13" s="113" t="s">
        <v>84</v>
      </c>
      <c r="D13" s="114"/>
      <c r="E13" s="116"/>
      <c r="G13" s="106"/>
    </row>
    <row r="14" spans="2:7" x14ac:dyDescent="0.2">
      <c r="B14" s="97">
        <v>5</v>
      </c>
      <c r="C14" s="113" t="s">
        <v>84</v>
      </c>
      <c r="D14" s="114"/>
      <c r="E14" s="116"/>
      <c r="G14" s="106"/>
    </row>
    <row r="15" spans="2:7" x14ac:dyDescent="0.2">
      <c r="B15" s="97">
        <v>6</v>
      </c>
      <c r="C15" s="113" t="s">
        <v>84</v>
      </c>
      <c r="D15" s="114"/>
      <c r="E15" s="116"/>
      <c r="G15" s="106"/>
    </row>
    <row r="16" spans="2:7" x14ac:dyDescent="0.2">
      <c r="B16" s="97">
        <v>7</v>
      </c>
      <c r="C16" s="113" t="s">
        <v>84</v>
      </c>
      <c r="D16" s="114"/>
      <c r="E16" s="116"/>
      <c r="G16" s="106"/>
    </row>
    <row r="17" spans="2:7" x14ac:dyDescent="0.2">
      <c r="B17" s="97">
        <v>8</v>
      </c>
      <c r="C17" s="113" t="s">
        <v>84</v>
      </c>
      <c r="D17" s="114"/>
      <c r="E17" s="116"/>
      <c r="G17" s="106"/>
    </row>
    <row r="18" spans="2:7" x14ac:dyDescent="0.2">
      <c r="B18" s="97">
        <v>9</v>
      </c>
      <c r="C18" s="113" t="s">
        <v>84</v>
      </c>
      <c r="D18" s="114"/>
      <c r="E18" s="116"/>
      <c r="G18" s="106"/>
    </row>
    <row r="19" spans="2:7" x14ac:dyDescent="0.2">
      <c r="B19" s="97">
        <v>10</v>
      </c>
      <c r="C19" s="113" t="s">
        <v>84</v>
      </c>
      <c r="D19" s="114"/>
      <c r="E19" s="116"/>
      <c r="G19" s="106"/>
    </row>
    <row r="20" spans="2:7" x14ac:dyDescent="0.2">
      <c r="B20" s="97">
        <v>11</v>
      </c>
      <c r="C20" s="113" t="s">
        <v>84</v>
      </c>
      <c r="D20" s="114"/>
      <c r="E20" s="116"/>
      <c r="G20" s="106"/>
    </row>
    <row r="21" spans="2:7" x14ac:dyDescent="0.2">
      <c r="B21" s="97">
        <v>12</v>
      </c>
      <c r="C21" s="113" t="s">
        <v>84</v>
      </c>
      <c r="D21" s="114"/>
      <c r="E21" s="116"/>
      <c r="G21" s="106"/>
    </row>
    <row r="22" spans="2:7" x14ac:dyDescent="0.2">
      <c r="B22" s="97">
        <v>13</v>
      </c>
      <c r="C22" s="113" t="s">
        <v>84</v>
      </c>
      <c r="D22" s="114"/>
      <c r="E22" s="116"/>
      <c r="G22" s="106"/>
    </row>
    <row r="23" spans="2:7" x14ac:dyDescent="0.2">
      <c r="B23" s="97">
        <v>14</v>
      </c>
      <c r="C23" s="113" t="s">
        <v>84</v>
      </c>
      <c r="D23" s="114"/>
      <c r="E23" s="116"/>
      <c r="G23" s="106"/>
    </row>
    <row r="24" spans="2:7" x14ac:dyDescent="0.2">
      <c r="B24" s="97">
        <v>15</v>
      </c>
      <c r="C24" s="113" t="s">
        <v>84</v>
      </c>
      <c r="D24" s="114"/>
      <c r="E24" s="116"/>
      <c r="G24" s="106"/>
    </row>
    <row r="25" spans="2:7" x14ac:dyDescent="0.2">
      <c r="B25" s="97">
        <v>16</v>
      </c>
      <c r="C25" s="113" t="s">
        <v>84</v>
      </c>
      <c r="D25" s="114"/>
      <c r="E25" s="116"/>
      <c r="G25" s="106"/>
    </row>
    <row r="26" spans="2:7" x14ac:dyDescent="0.2">
      <c r="B26" s="97">
        <v>17</v>
      </c>
      <c r="C26" s="113" t="s">
        <v>84</v>
      </c>
      <c r="D26" s="114"/>
      <c r="E26" s="116"/>
      <c r="G26" s="106"/>
    </row>
    <row r="27" spans="2:7" x14ac:dyDescent="0.2">
      <c r="B27" s="97">
        <v>18</v>
      </c>
      <c r="C27" s="113" t="s">
        <v>84</v>
      </c>
      <c r="D27" s="114"/>
      <c r="E27" s="116"/>
      <c r="G27" s="106"/>
    </row>
    <row r="28" spans="2:7" x14ac:dyDescent="0.2">
      <c r="B28" s="97">
        <v>19</v>
      </c>
      <c r="C28" s="113" t="s">
        <v>84</v>
      </c>
      <c r="D28" s="114"/>
      <c r="E28" s="116"/>
      <c r="G28" s="106"/>
    </row>
    <row r="29" spans="2:7" x14ac:dyDescent="0.2">
      <c r="B29" s="97">
        <v>20</v>
      </c>
      <c r="C29" s="113" t="s">
        <v>84</v>
      </c>
      <c r="D29" s="114"/>
      <c r="E29" s="116"/>
      <c r="G29" s="106"/>
    </row>
    <row r="30" spans="2:7" x14ac:dyDescent="0.2">
      <c r="B30" s="97">
        <v>21</v>
      </c>
      <c r="C30" s="113" t="s">
        <v>84</v>
      </c>
      <c r="D30" s="114"/>
      <c r="E30" s="116"/>
      <c r="G30" s="106"/>
    </row>
    <row r="31" spans="2:7" x14ac:dyDescent="0.2">
      <c r="B31" s="97">
        <v>22</v>
      </c>
      <c r="C31" s="113" t="s">
        <v>84</v>
      </c>
      <c r="D31" s="114"/>
      <c r="E31" s="116"/>
      <c r="G31" s="106"/>
    </row>
    <row r="32" spans="2:7" x14ac:dyDescent="0.2">
      <c r="B32" s="97">
        <v>23</v>
      </c>
      <c r="C32" s="113" t="s">
        <v>84</v>
      </c>
      <c r="D32" s="114"/>
      <c r="E32" s="116"/>
      <c r="G32" s="106"/>
    </row>
    <row r="33" spans="2:7" x14ac:dyDescent="0.2">
      <c r="B33" s="97">
        <v>24</v>
      </c>
      <c r="C33" s="113" t="s">
        <v>84</v>
      </c>
      <c r="D33" s="114"/>
      <c r="E33" s="116"/>
      <c r="G33" s="106"/>
    </row>
    <row r="34" spans="2:7" x14ac:dyDescent="0.2">
      <c r="B34" s="97">
        <v>25</v>
      </c>
      <c r="C34" s="113" t="s">
        <v>84</v>
      </c>
      <c r="D34" s="114"/>
      <c r="E34" s="116"/>
      <c r="G34" s="106"/>
    </row>
    <row r="35" spans="2:7" x14ac:dyDescent="0.2">
      <c r="B35" s="97">
        <v>26</v>
      </c>
      <c r="C35" s="113" t="s">
        <v>84</v>
      </c>
      <c r="D35" s="114"/>
      <c r="E35" s="116"/>
      <c r="G35" s="106"/>
    </row>
    <row r="36" spans="2:7" x14ac:dyDescent="0.2">
      <c r="B36" s="97">
        <v>27</v>
      </c>
      <c r="C36" s="113" t="s">
        <v>84</v>
      </c>
      <c r="D36" s="114"/>
      <c r="E36" s="116"/>
      <c r="G36" s="106"/>
    </row>
    <row r="37" spans="2:7" x14ac:dyDescent="0.2">
      <c r="B37" s="97">
        <v>28</v>
      </c>
      <c r="C37" s="113" t="s">
        <v>84</v>
      </c>
      <c r="D37" s="114"/>
      <c r="E37" s="116"/>
      <c r="G37" s="106"/>
    </row>
    <row r="38" spans="2:7" x14ac:dyDescent="0.2">
      <c r="B38" s="97">
        <v>29</v>
      </c>
      <c r="C38" s="113" t="s">
        <v>84</v>
      </c>
      <c r="D38" s="114"/>
      <c r="E38" s="116"/>
      <c r="G38" s="106"/>
    </row>
    <row r="39" spans="2:7" x14ac:dyDescent="0.2">
      <c r="B39" s="97">
        <v>30</v>
      </c>
      <c r="C39" s="113" t="s">
        <v>84</v>
      </c>
      <c r="D39" s="114"/>
      <c r="E39" s="116"/>
      <c r="G39" s="106"/>
    </row>
    <row r="40" spans="2:7" x14ac:dyDescent="0.2">
      <c r="B40" s="97">
        <v>31</v>
      </c>
      <c r="C40" s="113" t="s">
        <v>84</v>
      </c>
      <c r="D40" s="114"/>
      <c r="E40" s="116"/>
      <c r="G40" s="106"/>
    </row>
    <row r="41" spans="2:7" ht="13.5" thickBot="1" x14ac:dyDescent="0.25">
      <c r="B41" s="102">
        <v>32</v>
      </c>
      <c r="C41" s="117" t="s">
        <v>84</v>
      </c>
      <c r="D41" s="118"/>
      <c r="E41" s="119"/>
      <c r="G41" s="106"/>
    </row>
    <row r="42" spans="2:7" x14ac:dyDescent="0.2">
      <c r="C42" s="38"/>
      <c r="D42" s="38"/>
      <c r="E42" s="38"/>
    </row>
    <row r="43" spans="2:7" x14ac:dyDescent="0.2">
      <c r="C43" s="38"/>
      <c r="D43" s="38"/>
      <c r="E43" s="38"/>
    </row>
    <row r="44" spans="2:7" hidden="1" x14ac:dyDescent="0.2">
      <c r="C44" s="38" t="s">
        <v>83</v>
      </c>
      <c r="D44" s="38"/>
      <c r="E44" s="38"/>
    </row>
    <row r="45" spans="2:7" hidden="1" x14ac:dyDescent="0.2">
      <c r="C45" s="38" t="s">
        <v>84</v>
      </c>
      <c r="D45" s="38"/>
      <c r="E45" s="38"/>
    </row>
    <row r="46" spans="2:7" ht="25.5" hidden="1" x14ac:dyDescent="0.2">
      <c r="C46" s="38" t="s">
        <v>97</v>
      </c>
      <c r="D46" s="38"/>
      <c r="E46" s="38"/>
    </row>
    <row r="47" spans="2:7" ht="25.5" hidden="1" x14ac:dyDescent="0.2">
      <c r="C47" s="38" t="s">
        <v>127</v>
      </c>
      <c r="D47" s="38"/>
      <c r="E47" s="38"/>
    </row>
    <row r="48" spans="2:7" hidden="1" x14ac:dyDescent="0.2">
      <c r="C48" s="38" t="s">
        <v>98</v>
      </c>
      <c r="D48" s="38"/>
      <c r="E48" s="38"/>
    </row>
    <row r="49" spans="3:5" hidden="1" x14ac:dyDescent="0.2">
      <c r="C49" s="38" t="s">
        <v>109</v>
      </c>
      <c r="D49" s="38"/>
      <c r="E49" s="38"/>
    </row>
    <row r="50" spans="3:5" hidden="1" x14ac:dyDescent="0.2">
      <c r="C50" s="38" t="s">
        <v>125</v>
      </c>
      <c r="D50" s="38"/>
      <c r="E50" s="38"/>
    </row>
    <row r="51" spans="3:5" hidden="1" x14ac:dyDescent="0.2">
      <c r="C51" s="38" t="s">
        <v>126</v>
      </c>
      <c r="D51" s="38"/>
      <c r="E51" s="38"/>
    </row>
    <row r="52" spans="3:5" hidden="1" x14ac:dyDescent="0.2">
      <c r="C52" s="38" t="s">
        <v>5</v>
      </c>
      <c r="D52" s="38"/>
      <c r="E52" s="38"/>
    </row>
    <row r="53" spans="3:5" x14ac:dyDescent="0.2">
      <c r="E53" s="38"/>
    </row>
    <row r="54" spans="3:5" x14ac:dyDescent="0.2">
      <c r="C54" s="38"/>
      <c r="D54" s="38"/>
      <c r="E54" s="38"/>
    </row>
  </sheetData>
  <sheetProtection password="97D3" sheet="1" objects="1" scenarios="1" formatRows="0"/>
  <mergeCells count="2">
    <mergeCell ref="B5:C5"/>
    <mergeCell ref="B2:E3"/>
  </mergeCells>
  <phoneticPr fontId="1" type="noConversion"/>
  <dataValidations count="1">
    <dataValidation type="list" allowBlank="1" showInputMessage="1" showErrorMessage="1" sqref="C10:C41">
      <formula1>$C$45:$C$52</formula1>
    </dataValidation>
  </dataValidations>
  <pageMargins left="0.75" right="0.75" top="1" bottom="1" header="0.5" footer="0.5"/>
  <pageSetup paperSize="9" scale="96" fitToHeight="100"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הנחיות</vt:lpstr>
      <vt:lpstr>א. כללי</vt:lpstr>
      <vt:lpstr>ב. פרויקט הגמר בעולם האמיתי</vt:lpstr>
      <vt:lpstr>ג. תמונות</vt:lpstr>
      <vt:lpstr>ד. סרטונים</vt:lpstr>
      <vt:lpstr>סטודנט_2</vt:lpstr>
    </vt:vector>
  </TitlesOfParts>
  <Company>michlala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naama</dc:creator>
  <cp:lastModifiedBy>dvir twina</cp:lastModifiedBy>
  <cp:lastPrinted>2013-01-17T12:14:17Z</cp:lastPrinted>
  <dcterms:created xsi:type="dcterms:W3CDTF">2006-12-25T07:45:34Z</dcterms:created>
  <dcterms:modified xsi:type="dcterms:W3CDTF">2018-07-22T15:16:31Z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d77ce5b4-03fe-4003-b668-8bac7944f12f</vt:lpwstr>
  </property>
</Properties>
</file>